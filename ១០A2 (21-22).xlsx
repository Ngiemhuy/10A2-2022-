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Leng\Desktop\"/>
    </mc:Choice>
  </mc:AlternateContent>
  <xr:revisionPtr revIDLastSave="0" documentId="13_ncr:1_{E112B148-5774-4264-A778-F2F4B889848C}" xr6:coauthVersionLast="47" xr6:coauthVersionMax="47" xr10:uidLastSave="{00000000-0000-0000-0000-000000000000}"/>
  <bookViews>
    <workbookView xWindow="-98" yWindow="-98" windowWidth="20715" windowHeight="13155" activeTab="2" xr2:uid="{00000000-000D-0000-FFFF-FFFF00000000}"/>
  </bookViews>
  <sheets>
    <sheet name="feb " sheetId="7" r:id="rId1"/>
    <sheet name="feb2022  (2)" sheetId="12" r:id="rId2"/>
    <sheet name="feb2 (2)" sheetId="6" r:id="rId3"/>
    <sheet name="dec" sheetId="1" r:id="rId4"/>
    <sheet name="dec2" sheetId="2" r:id="rId5"/>
    <sheet name="jan" sheetId="3" r:id="rId6"/>
    <sheet name="jan2" sheetId="5" r:id="rId7"/>
    <sheet name="SEMESTER1(2)" sheetId="8" r:id="rId8"/>
    <sheet name="SEMESTER1" sheetId="9" r:id="rId9"/>
    <sheet name="SEMESTER1(3)" sheetId="11" r:id="rId10"/>
    <sheet name="VIP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6" i="12" l="1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2" i="12"/>
  <c r="P36" i="12"/>
  <c r="P37" i="12"/>
  <c r="P38" i="12"/>
  <c r="P40" i="12"/>
  <c r="P41" i="12"/>
  <c r="P42" i="12"/>
  <c r="P43" i="12"/>
  <c r="P45" i="12"/>
  <c r="P46" i="12"/>
  <c r="P47" i="12"/>
  <c r="P48" i="12"/>
  <c r="P49" i="12"/>
  <c r="P50" i="12"/>
  <c r="P5" i="12"/>
  <c r="O50" i="12"/>
  <c r="O49" i="12"/>
  <c r="O48" i="12"/>
  <c r="O47" i="12"/>
  <c r="O46" i="12"/>
  <c r="O45" i="12"/>
  <c r="O44" i="12"/>
  <c r="P44" i="12" s="1"/>
  <c r="O43" i="12"/>
  <c r="O42" i="12"/>
  <c r="O41" i="12"/>
  <c r="O40" i="12"/>
  <c r="O39" i="12"/>
  <c r="P39" i="12" s="1"/>
  <c r="O38" i="12"/>
  <c r="O37" i="12"/>
  <c r="O36" i="12"/>
  <c r="O35" i="12"/>
  <c r="P35" i="12" s="1"/>
  <c r="O34" i="12"/>
  <c r="P34" i="12" s="1"/>
  <c r="O33" i="12"/>
  <c r="P33" i="12" s="1"/>
  <c r="O32" i="12"/>
  <c r="O31" i="12"/>
  <c r="P31" i="12" s="1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H6" i="9"/>
  <c r="AA8" i="9"/>
  <c r="AB8" i="9" s="1"/>
  <c r="AD8" i="9" s="1"/>
  <c r="AA16" i="9"/>
  <c r="AB16" i="9" s="1"/>
  <c r="AD16" i="9" s="1"/>
  <c r="AA19" i="9"/>
  <c r="AB19" i="9"/>
  <c r="AD19" i="9" s="1"/>
  <c r="AA34" i="9"/>
  <c r="AB34" i="9" s="1"/>
  <c r="AD34" i="9" s="1"/>
  <c r="AA9" i="9"/>
  <c r="AB9" i="9" s="1"/>
  <c r="AD9" i="9" s="1"/>
  <c r="AA43" i="9"/>
  <c r="AB43" i="9" s="1"/>
  <c r="AD43" i="9" s="1"/>
  <c r="AA46" i="9"/>
  <c r="AB46" i="9" s="1"/>
  <c r="AD46" i="9" s="1"/>
  <c r="AA47" i="9"/>
  <c r="AB47" i="9" s="1"/>
  <c r="AD47" i="9" s="1"/>
  <c r="AA54" i="9"/>
  <c r="AB54" i="9"/>
  <c r="AD54" i="9" s="1"/>
  <c r="AA39" i="9"/>
  <c r="AB39" i="9" s="1"/>
  <c r="AD39" i="9" s="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6" i="9"/>
  <c r="AB10" i="9"/>
  <c r="AB11" i="9"/>
  <c r="AD11" i="9" s="1"/>
  <c r="AB12" i="9"/>
  <c r="AD12" i="9" s="1"/>
  <c r="AB14" i="9"/>
  <c r="AB20" i="9"/>
  <c r="AB21" i="9"/>
  <c r="AD21" i="9" s="1"/>
  <c r="AB22" i="9"/>
  <c r="AD22" i="9" s="1"/>
  <c r="AB24" i="9"/>
  <c r="AB28" i="9"/>
  <c r="AB29" i="9"/>
  <c r="AD29" i="9" s="1"/>
  <c r="AB32" i="9"/>
  <c r="AD32" i="9" s="1"/>
  <c r="AB37" i="9"/>
  <c r="AD37" i="9" s="1"/>
  <c r="AA41" i="9"/>
  <c r="AB41" i="9"/>
  <c r="AB48" i="9"/>
  <c r="AB49" i="9"/>
  <c r="AD49" i="9" s="1"/>
  <c r="AB50" i="9"/>
  <c r="AD50" i="9" s="1"/>
  <c r="AB52" i="9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50" i="10"/>
  <c r="D51" i="10"/>
  <c r="D2" i="10"/>
  <c r="AA55" i="9"/>
  <c r="AB55" i="9" s="1"/>
  <c r="AD55" i="9" s="1"/>
  <c r="AA30" i="9"/>
  <c r="AB30" i="9" s="1"/>
  <c r="AD30" i="9" s="1"/>
  <c r="AA31" i="9"/>
  <c r="AB31" i="9" s="1"/>
  <c r="AD31" i="9" s="1"/>
  <c r="AA32" i="9"/>
  <c r="AA33" i="9"/>
  <c r="AB33" i="9" s="1"/>
  <c r="AD33" i="9" s="1"/>
  <c r="AA35" i="9"/>
  <c r="AB35" i="9" s="1"/>
  <c r="AD35" i="9" s="1"/>
  <c r="AA36" i="9"/>
  <c r="AB36" i="9" s="1"/>
  <c r="AD36" i="9" s="1"/>
  <c r="AA37" i="9"/>
  <c r="AA38" i="9"/>
  <c r="AB38" i="9" s="1"/>
  <c r="AD38" i="9" s="1"/>
  <c r="AA40" i="9"/>
  <c r="AB40" i="9" s="1"/>
  <c r="AD40" i="9" s="1"/>
  <c r="AD41" i="9"/>
  <c r="AA42" i="9"/>
  <c r="AB42" i="9" s="1"/>
  <c r="AD42" i="9" s="1"/>
  <c r="AA44" i="9"/>
  <c r="AB44" i="9" s="1"/>
  <c r="AD44" i="9" s="1"/>
  <c r="AE44" i="9" s="1"/>
  <c r="AA45" i="9"/>
  <c r="AB45" i="9" s="1"/>
  <c r="AD45" i="9" s="1"/>
  <c r="AA48" i="9"/>
  <c r="AD48" i="9"/>
  <c r="AA49" i="9"/>
  <c r="AA50" i="9"/>
  <c r="AA51" i="9"/>
  <c r="AB51" i="9" s="1"/>
  <c r="AD51" i="9" s="1"/>
  <c r="AA52" i="9"/>
  <c r="AD52" i="9"/>
  <c r="AA53" i="9"/>
  <c r="AB53" i="9" s="1"/>
  <c r="AD53" i="9" s="1"/>
  <c r="AA6" i="9"/>
  <c r="AB6" i="9" s="1"/>
  <c r="AD6" i="9" s="1"/>
  <c r="AA7" i="9"/>
  <c r="AB7" i="9" s="1"/>
  <c r="AD7" i="9" s="1"/>
  <c r="AA10" i="9"/>
  <c r="AD10" i="9"/>
  <c r="AA11" i="9"/>
  <c r="AA12" i="9"/>
  <c r="AA13" i="9"/>
  <c r="AB13" i="9" s="1"/>
  <c r="AD13" i="9" s="1"/>
  <c r="AA14" i="9"/>
  <c r="AD14" i="9"/>
  <c r="AA15" i="9"/>
  <c r="AB15" i="9" s="1"/>
  <c r="AD15" i="9" s="1"/>
  <c r="AA17" i="9"/>
  <c r="AB17" i="9" s="1"/>
  <c r="AD17" i="9" s="1"/>
  <c r="AA18" i="9"/>
  <c r="AB18" i="9" s="1"/>
  <c r="AD18" i="9" s="1"/>
  <c r="AA20" i="9"/>
  <c r="AD20" i="9"/>
  <c r="AA21" i="9"/>
  <c r="AA22" i="9"/>
  <c r="AA23" i="9"/>
  <c r="AB23" i="9" s="1"/>
  <c r="AD23" i="9" s="1"/>
  <c r="AA24" i="9"/>
  <c r="AD24" i="9"/>
  <c r="AA25" i="9"/>
  <c r="AB25" i="9" s="1"/>
  <c r="AD25" i="9" s="1"/>
  <c r="AA26" i="9"/>
  <c r="AB26" i="9" s="1"/>
  <c r="AD26" i="9" s="1"/>
  <c r="AA27" i="9"/>
  <c r="AB27" i="9" s="1"/>
  <c r="AD27" i="9" s="1"/>
  <c r="AA28" i="9"/>
  <c r="AD28" i="9"/>
  <c r="AA29" i="9"/>
  <c r="Z55" i="9"/>
  <c r="X55" i="9"/>
  <c r="V55" i="9"/>
  <c r="T55" i="9"/>
  <c r="R55" i="9"/>
  <c r="P55" i="9"/>
  <c r="N55" i="9"/>
  <c r="L55" i="9"/>
  <c r="J55" i="9"/>
  <c r="H55" i="9"/>
  <c r="Z54" i="9"/>
  <c r="X54" i="9"/>
  <c r="V54" i="9"/>
  <c r="T54" i="9"/>
  <c r="R54" i="9"/>
  <c r="P54" i="9"/>
  <c r="N54" i="9"/>
  <c r="L54" i="9"/>
  <c r="J54" i="9"/>
  <c r="H54" i="9"/>
  <c r="Z53" i="9"/>
  <c r="X53" i="9"/>
  <c r="V53" i="9"/>
  <c r="T53" i="9"/>
  <c r="R53" i="9"/>
  <c r="P53" i="9"/>
  <c r="N53" i="9"/>
  <c r="L53" i="9"/>
  <c r="J53" i="9"/>
  <c r="H53" i="9"/>
  <c r="Z52" i="9"/>
  <c r="X52" i="9"/>
  <c r="V52" i="9"/>
  <c r="T52" i="9"/>
  <c r="R52" i="9"/>
  <c r="P52" i="9"/>
  <c r="N52" i="9"/>
  <c r="L52" i="9"/>
  <c r="J52" i="9"/>
  <c r="H52" i="9"/>
  <c r="Z51" i="9"/>
  <c r="X51" i="9"/>
  <c r="V51" i="9"/>
  <c r="T51" i="9"/>
  <c r="R51" i="9"/>
  <c r="P51" i="9"/>
  <c r="N51" i="9"/>
  <c r="L51" i="9"/>
  <c r="J51" i="9"/>
  <c r="H51" i="9"/>
  <c r="Z50" i="9"/>
  <c r="X50" i="9"/>
  <c r="V50" i="9"/>
  <c r="T50" i="9"/>
  <c r="R50" i="9"/>
  <c r="P50" i="9"/>
  <c r="N50" i="9"/>
  <c r="L50" i="9"/>
  <c r="J50" i="9"/>
  <c r="H50" i="9"/>
  <c r="Z49" i="9"/>
  <c r="X49" i="9"/>
  <c r="V49" i="9"/>
  <c r="T49" i="9"/>
  <c r="R49" i="9"/>
  <c r="P49" i="9"/>
  <c r="N49" i="9"/>
  <c r="L49" i="9"/>
  <c r="J49" i="9"/>
  <c r="H49" i="9"/>
  <c r="Z48" i="9"/>
  <c r="X48" i="9"/>
  <c r="V48" i="9"/>
  <c r="T48" i="9"/>
  <c r="R48" i="9"/>
  <c r="P48" i="9"/>
  <c r="N48" i="9"/>
  <c r="L48" i="9"/>
  <c r="J48" i="9"/>
  <c r="H48" i="9"/>
  <c r="Z47" i="9"/>
  <c r="X47" i="9"/>
  <c r="V47" i="9"/>
  <c r="T47" i="9"/>
  <c r="R47" i="9"/>
  <c r="P47" i="9"/>
  <c r="N47" i="9"/>
  <c r="L47" i="9"/>
  <c r="J47" i="9"/>
  <c r="H47" i="9"/>
  <c r="Z46" i="9"/>
  <c r="X46" i="9"/>
  <c r="V46" i="9"/>
  <c r="T46" i="9"/>
  <c r="R46" i="9"/>
  <c r="P46" i="9"/>
  <c r="N46" i="9"/>
  <c r="L46" i="9"/>
  <c r="J46" i="9"/>
  <c r="H46" i="9"/>
  <c r="Z45" i="9"/>
  <c r="X45" i="9"/>
  <c r="V45" i="9"/>
  <c r="T45" i="9"/>
  <c r="R45" i="9"/>
  <c r="P45" i="9"/>
  <c r="N45" i="9"/>
  <c r="L45" i="9"/>
  <c r="J45" i="9"/>
  <c r="H45" i="9"/>
  <c r="Z44" i="9"/>
  <c r="X44" i="9"/>
  <c r="V44" i="9"/>
  <c r="T44" i="9"/>
  <c r="R44" i="9"/>
  <c r="P44" i="9"/>
  <c r="N44" i="9"/>
  <c r="L44" i="9"/>
  <c r="J44" i="9"/>
  <c r="H44" i="9"/>
  <c r="Z43" i="9"/>
  <c r="X43" i="9"/>
  <c r="V43" i="9"/>
  <c r="T43" i="9"/>
  <c r="R43" i="9"/>
  <c r="P43" i="9"/>
  <c r="N43" i="9"/>
  <c r="L43" i="9"/>
  <c r="J43" i="9"/>
  <c r="H43" i="9"/>
  <c r="Z42" i="9"/>
  <c r="X42" i="9"/>
  <c r="V42" i="9"/>
  <c r="T42" i="9"/>
  <c r="R42" i="9"/>
  <c r="P42" i="9"/>
  <c r="N42" i="9"/>
  <c r="L42" i="9"/>
  <c r="J42" i="9"/>
  <c r="H42" i="9"/>
  <c r="Z41" i="9"/>
  <c r="X41" i="9"/>
  <c r="V41" i="9"/>
  <c r="T41" i="9"/>
  <c r="R41" i="9"/>
  <c r="P41" i="9"/>
  <c r="N41" i="9"/>
  <c r="L41" i="9"/>
  <c r="J41" i="9"/>
  <c r="H41" i="9"/>
  <c r="Z40" i="9"/>
  <c r="X40" i="9"/>
  <c r="V40" i="9"/>
  <c r="T40" i="9"/>
  <c r="R40" i="9"/>
  <c r="P40" i="9"/>
  <c r="N40" i="9"/>
  <c r="L40" i="9"/>
  <c r="J40" i="9"/>
  <c r="H40" i="9"/>
  <c r="Z39" i="9"/>
  <c r="X39" i="9"/>
  <c r="V39" i="9"/>
  <c r="T39" i="9"/>
  <c r="R39" i="9"/>
  <c r="P39" i="9"/>
  <c r="N39" i="9"/>
  <c r="L39" i="9"/>
  <c r="J39" i="9"/>
  <c r="H39" i="9"/>
  <c r="Z38" i="9"/>
  <c r="X38" i="9"/>
  <c r="V38" i="9"/>
  <c r="T38" i="9"/>
  <c r="R38" i="9"/>
  <c r="P38" i="9"/>
  <c r="N38" i="9"/>
  <c r="L38" i="9"/>
  <c r="J38" i="9"/>
  <c r="H38" i="9"/>
  <c r="Z37" i="9"/>
  <c r="X37" i="9"/>
  <c r="V37" i="9"/>
  <c r="T37" i="9"/>
  <c r="R37" i="9"/>
  <c r="P37" i="9"/>
  <c r="N37" i="9"/>
  <c r="L37" i="9"/>
  <c r="J37" i="9"/>
  <c r="H37" i="9"/>
  <c r="Z36" i="9"/>
  <c r="X36" i="9"/>
  <c r="V36" i="9"/>
  <c r="T36" i="9"/>
  <c r="R36" i="9"/>
  <c r="P36" i="9"/>
  <c r="N36" i="9"/>
  <c r="L36" i="9"/>
  <c r="J36" i="9"/>
  <c r="H36" i="9"/>
  <c r="Z35" i="9"/>
  <c r="X35" i="9"/>
  <c r="V35" i="9"/>
  <c r="T35" i="9"/>
  <c r="R35" i="9"/>
  <c r="P35" i="9"/>
  <c r="N35" i="9"/>
  <c r="L35" i="9"/>
  <c r="J35" i="9"/>
  <c r="H35" i="9"/>
  <c r="Z34" i="9"/>
  <c r="X34" i="9"/>
  <c r="V34" i="9"/>
  <c r="T34" i="9"/>
  <c r="R34" i="9"/>
  <c r="P34" i="9"/>
  <c r="N34" i="9"/>
  <c r="L34" i="9"/>
  <c r="J34" i="9"/>
  <c r="H34" i="9"/>
  <c r="Z33" i="9"/>
  <c r="X33" i="9"/>
  <c r="V33" i="9"/>
  <c r="T33" i="9"/>
  <c r="R33" i="9"/>
  <c r="P33" i="9"/>
  <c r="N33" i="9"/>
  <c r="L33" i="9"/>
  <c r="J33" i="9"/>
  <c r="H33" i="9"/>
  <c r="Z32" i="9"/>
  <c r="X32" i="9"/>
  <c r="V32" i="9"/>
  <c r="T32" i="9"/>
  <c r="R32" i="9"/>
  <c r="P32" i="9"/>
  <c r="N32" i="9"/>
  <c r="L32" i="9"/>
  <c r="J32" i="9"/>
  <c r="H32" i="9"/>
  <c r="Z31" i="9"/>
  <c r="X31" i="9"/>
  <c r="V31" i="9"/>
  <c r="T31" i="9"/>
  <c r="R31" i="9"/>
  <c r="P31" i="9"/>
  <c r="N31" i="9"/>
  <c r="L31" i="9"/>
  <c r="J31" i="9"/>
  <c r="H31" i="9"/>
  <c r="Z30" i="9"/>
  <c r="X30" i="9"/>
  <c r="V30" i="9"/>
  <c r="T30" i="9"/>
  <c r="R30" i="9"/>
  <c r="P30" i="9"/>
  <c r="N30" i="9"/>
  <c r="L30" i="9"/>
  <c r="J30" i="9"/>
  <c r="H30" i="9"/>
  <c r="Z29" i="9"/>
  <c r="X29" i="9"/>
  <c r="V29" i="9"/>
  <c r="T29" i="9"/>
  <c r="R29" i="9"/>
  <c r="P29" i="9"/>
  <c r="N29" i="9"/>
  <c r="L29" i="9"/>
  <c r="J29" i="9"/>
  <c r="H29" i="9"/>
  <c r="Z28" i="9"/>
  <c r="X28" i="9"/>
  <c r="V28" i="9"/>
  <c r="T28" i="9"/>
  <c r="R28" i="9"/>
  <c r="P28" i="9"/>
  <c r="N28" i="9"/>
  <c r="L28" i="9"/>
  <c r="J28" i="9"/>
  <c r="H28" i="9"/>
  <c r="Z27" i="9"/>
  <c r="X27" i="9"/>
  <c r="V27" i="9"/>
  <c r="T27" i="9"/>
  <c r="R27" i="9"/>
  <c r="P27" i="9"/>
  <c r="N27" i="9"/>
  <c r="L27" i="9"/>
  <c r="J27" i="9"/>
  <c r="H27" i="9"/>
  <c r="Z26" i="9"/>
  <c r="X26" i="9"/>
  <c r="V26" i="9"/>
  <c r="T26" i="9"/>
  <c r="R26" i="9"/>
  <c r="P26" i="9"/>
  <c r="N26" i="9"/>
  <c r="L26" i="9"/>
  <c r="J26" i="9"/>
  <c r="H26" i="9"/>
  <c r="Z25" i="9"/>
  <c r="X25" i="9"/>
  <c r="V25" i="9"/>
  <c r="T25" i="9"/>
  <c r="R25" i="9"/>
  <c r="P25" i="9"/>
  <c r="N25" i="9"/>
  <c r="L25" i="9"/>
  <c r="J25" i="9"/>
  <c r="H25" i="9"/>
  <c r="Z24" i="9"/>
  <c r="X24" i="9"/>
  <c r="V24" i="9"/>
  <c r="T24" i="9"/>
  <c r="R24" i="9"/>
  <c r="P24" i="9"/>
  <c r="N24" i="9"/>
  <c r="L24" i="9"/>
  <c r="J24" i="9"/>
  <c r="H24" i="9"/>
  <c r="Z23" i="9"/>
  <c r="X23" i="9"/>
  <c r="V23" i="9"/>
  <c r="T23" i="9"/>
  <c r="R23" i="9"/>
  <c r="P23" i="9"/>
  <c r="N23" i="9"/>
  <c r="L23" i="9"/>
  <c r="J23" i="9"/>
  <c r="H23" i="9"/>
  <c r="Z22" i="9"/>
  <c r="X22" i="9"/>
  <c r="V22" i="9"/>
  <c r="T22" i="9"/>
  <c r="R22" i="9"/>
  <c r="P22" i="9"/>
  <c r="N22" i="9"/>
  <c r="L22" i="9"/>
  <c r="J22" i="9"/>
  <c r="H22" i="9"/>
  <c r="Z21" i="9"/>
  <c r="X21" i="9"/>
  <c r="V21" i="9"/>
  <c r="T21" i="9"/>
  <c r="R21" i="9"/>
  <c r="P21" i="9"/>
  <c r="N21" i="9"/>
  <c r="L21" i="9"/>
  <c r="J21" i="9"/>
  <c r="H21" i="9"/>
  <c r="Z20" i="9"/>
  <c r="X20" i="9"/>
  <c r="V20" i="9"/>
  <c r="T20" i="9"/>
  <c r="R20" i="9"/>
  <c r="P20" i="9"/>
  <c r="N20" i="9"/>
  <c r="L20" i="9"/>
  <c r="J20" i="9"/>
  <c r="H20" i="9"/>
  <c r="Z19" i="9"/>
  <c r="X19" i="9"/>
  <c r="V19" i="9"/>
  <c r="T19" i="9"/>
  <c r="R19" i="9"/>
  <c r="P19" i="9"/>
  <c r="N19" i="9"/>
  <c r="L19" i="9"/>
  <c r="J19" i="9"/>
  <c r="H19" i="9"/>
  <c r="Z18" i="9"/>
  <c r="X18" i="9"/>
  <c r="V18" i="9"/>
  <c r="T18" i="9"/>
  <c r="R18" i="9"/>
  <c r="P18" i="9"/>
  <c r="N18" i="9"/>
  <c r="L18" i="9"/>
  <c r="J18" i="9"/>
  <c r="H18" i="9"/>
  <c r="Z17" i="9"/>
  <c r="X17" i="9"/>
  <c r="V17" i="9"/>
  <c r="T17" i="9"/>
  <c r="R17" i="9"/>
  <c r="P17" i="9"/>
  <c r="N17" i="9"/>
  <c r="L17" i="9"/>
  <c r="J17" i="9"/>
  <c r="H17" i="9"/>
  <c r="Z16" i="9"/>
  <c r="X16" i="9"/>
  <c r="V16" i="9"/>
  <c r="T16" i="9"/>
  <c r="R16" i="9"/>
  <c r="P16" i="9"/>
  <c r="N16" i="9"/>
  <c r="L16" i="9"/>
  <c r="J16" i="9"/>
  <c r="H16" i="9"/>
  <c r="Z15" i="9"/>
  <c r="X15" i="9"/>
  <c r="V15" i="9"/>
  <c r="T15" i="9"/>
  <c r="R15" i="9"/>
  <c r="P15" i="9"/>
  <c r="N15" i="9"/>
  <c r="L15" i="9"/>
  <c r="J15" i="9"/>
  <c r="H15" i="9"/>
  <c r="Z14" i="9"/>
  <c r="X14" i="9"/>
  <c r="V14" i="9"/>
  <c r="T14" i="9"/>
  <c r="R14" i="9"/>
  <c r="P14" i="9"/>
  <c r="N14" i="9"/>
  <c r="L14" i="9"/>
  <c r="J14" i="9"/>
  <c r="H14" i="9"/>
  <c r="Z13" i="9"/>
  <c r="X13" i="9"/>
  <c r="V13" i="9"/>
  <c r="T13" i="9"/>
  <c r="R13" i="9"/>
  <c r="P13" i="9"/>
  <c r="N13" i="9"/>
  <c r="L13" i="9"/>
  <c r="J13" i="9"/>
  <c r="H13" i="9"/>
  <c r="Z12" i="9"/>
  <c r="X12" i="9"/>
  <c r="V12" i="9"/>
  <c r="T12" i="9"/>
  <c r="R12" i="9"/>
  <c r="P12" i="9"/>
  <c r="N12" i="9"/>
  <c r="L12" i="9"/>
  <c r="J12" i="9"/>
  <c r="H12" i="9"/>
  <c r="Z11" i="9"/>
  <c r="X11" i="9"/>
  <c r="V11" i="9"/>
  <c r="T11" i="9"/>
  <c r="R11" i="9"/>
  <c r="P11" i="9"/>
  <c r="N11" i="9"/>
  <c r="L11" i="9"/>
  <c r="J11" i="9"/>
  <c r="H11" i="9"/>
  <c r="Z10" i="9"/>
  <c r="X10" i="9"/>
  <c r="V10" i="9"/>
  <c r="T10" i="9"/>
  <c r="R10" i="9"/>
  <c r="P10" i="9"/>
  <c r="N10" i="9"/>
  <c r="L10" i="9"/>
  <c r="J10" i="9"/>
  <c r="H10" i="9"/>
  <c r="Z9" i="9"/>
  <c r="X9" i="9"/>
  <c r="V9" i="9"/>
  <c r="T9" i="9"/>
  <c r="R9" i="9"/>
  <c r="P9" i="9"/>
  <c r="N9" i="9"/>
  <c r="L9" i="9"/>
  <c r="J9" i="9"/>
  <c r="H9" i="9"/>
  <c r="Z8" i="9"/>
  <c r="X8" i="9"/>
  <c r="V8" i="9"/>
  <c r="T8" i="9"/>
  <c r="R8" i="9"/>
  <c r="P8" i="9"/>
  <c r="N8" i="9"/>
  <c r="L8" i="9"/>
  <c r="J8" i="9"/>
  <c r="H8" i="9"/>
  <c r="Z7" i="9"/>
  <c r="X7" i="9"/>
  <c r="V7" i="9"/>
  <c r="T7" i="9"/>
  <c r="R7" i="9"/>
  <c r="P7" i="9"/>
  <c r="N7" i="9"/>
  <c r="L7" i="9"/>
  <c r="J7" i="9"/>
  <c r="H7" i="9"/>
  <c r="Z6" i="9"/>
  <c r="X6" i="9"/>
  <c r="V6" i="9"/>
  <c r="T6" i="9"/>
  <c r="R6" i="9"/>
  <c r="P6" i="9"/>
  <c r="N6" i="9"/>
  <c r="L6" i="9"/>
  <c r="J6" i="9"/>
  <c r="O46" i="7"/>
  <c r="P46" i="7" s="1"/>
  <c r="O36" i="7"/>
  <c r="P36" i="7"/>
  <c r="O5" i="7"/>
  <c r="P5" i="7" s="1"/>
  <c r="O6" i="7"/>
  <c r="P6" i="7"/>
  <c r="O7" i="7"/>
  <c r="P7" i="7"/>
  <c r="O8" i="7"/>
  <c r="P8" i="7"/>
  <c r="O9" i="7"/>
  <c r="P9" i="7" s="1"/>
  <c r="Q9" i="7" s="1"/>
  <c r="O10" i="7"/>
  <c r="P10" i="7"/>
  <c r="O11" i="7"/>
  <c r="P11" i="7"/>
  <c r="O12" i="7"/>
  <c r="P12" i="7"/>
  <c r="O13" i="7"/>
  <c r="P13" i="7" s="1"/>
  <c r="O14" i="7"/>
  <c r="P14" i="7"/>
  <c r="O15" i="7"/>
  <c r="P15" i="7"/>
  <c r="O16" i="7"/>
  <c r="P16" i="7"/>
  <c r="O17" i="7"/>
  <c r="P17" i="7" s="1"/>
  <c r="O18" i="7"/>
  <c r="P18" i="7"/>
  <c r="O19" i="7"/>
  <c r="P19" i="7"/>
  <c r="O20" i="7"/>
  <c r="P20" i="7"/>
  <c r="O21" i="7"/>
  <c r="P21" i="7" s="1"/>
  <c r="O22" i="7"/>
  <c r="P22" i="7"/>
  <c r="O23" i="7"/>
  <c r="P23" i="7"/>
  <c r="O24" i="7"/>
  <c r="P24" i="7"/>
  <c r="O25" i="7"/>
  <c r="P25" i="7" s="1"/>
  <c r="O26" i="7"/>
  <c r="P26" i="7"/>
  <c r="O27" i="7"/>
  <c r="P27" i="7"/>
  <c r="Q27" i="7" s="1"/>
  <c r="O28" i="7"/>
  <c r="P28" i="7"/>
  <c r="O29" i="7"/>
  <c r="P29" i="7" s="1"/>
  <c r="O30" i="7"/>
  <c r="P30" i="7"/>
  <c r="O31" i="7"/>
  <c r="P31" i="7"/>
  <c r="O32" i="7"/>
  <c r="P32" i="7"/>
  <c r="O33" i="7"/>
  <c r="P33" i="7" s="1"/>
  <c r="O34" i="7"/>
  <c r="P34" i="7"/>
  <c r="O35" i="7"/>
  <c r="P35" i="7"/>
  <c r="O37" i="7"/>
  <c r="P37" i="7"/>
  <c r="Q37" i="7" s="1"/>
  <c r="O38" i="7"/>
  <c r="P38" i="7" s="1"/>
  <c r="O39" i="7"/>
  <c r="P39" i="7"/>
  <c r="O40" i="7"/>
  <c r="P40" i="7"/>
  <c r="O41" i="7"/>
  <c r="P41" i="7"/>
  <c r="O42" i="7"/>
  <c r="P42" i="7" s="1"/>
  <c r="Q42" i="7" s="1"/>
  <c r="O43" i="7"/>
  <c r="P43" i="7"/>
  <c r="O44" i="7"/>
  <c r="P44" i="7"/>
  <c r="O45" i="7"/>
  <c r="P45" i="7"/>
  <c r="O47" i="7"/>
  <c r="P47" i="7"/>
  <c r="O48" i="7"/>
  <c r="P48" i="7"/>
  <c r="O49" i="7"/>
  <c r="P49" i="7" s="1"/>
  <c r="O50" i="7"/>
  <c r="P50" i="7" s="1"/>
  <c r="O51" i="7"/>
  <c r="P51" i="7"/>
  <c r="O52" i="7"/>
  <c r="P52" i="7"/>
  <c r="Q52" i="7" s="1"/>
  <c r="O53" i="7"/>
  <c r="P53" i="7" s="1"/>
  <c r="O54" i="7"/>
  <c r="P54" i="7" s="1"/>
  <c r="P6" i="3"/>
  <c r="P8" i="3"/>
  <c r="P9" i="3"/>
  <c r="P10" i="3"/>
  <c r="P14" i="3"/>
  <c r="P16" i="3"/>
  <c r="P17" i="3"/>
  <c r="P18" i="3"/>
  <c r="P22" i="3"/>
  <c r="P24" i="3"/>
  <c r="P25" i="3"/>
  <c r="P26" i="3"/>
  <c r="P30" i="3"/>
  <c r="P32" i="3"/>
  <c r="P34" i="3"/>
  <c r="P39" i="3"/>
  <c r="P40" i="3"/>
  <c r="P42" i="3"/>
  <c r="P46" i="3"/>
  <c r="P47" i="3"/>
  <c r="P48" i="3"/>
  <c r="P50" i="3"/>
  <c r="Q50" i="3" s="1"/>
  <c r="P54" i="3"/>
  <c r="O5" i="3"/>
  <c r="P5" i="3" s="1"/>
  <c r="O6" i="3"/>
  <c r="O7" i="3"/>
  <c r="P7" i="3" s="1"/>
  <c r="O8" i="3"/>
  <c r="O9" i="3"/>
  <c r="O10" i="3"/>
  <c r="O11" i="3"/>
  <c r="P11" i="3" s="1"/>
  <c r="O12" i="3"/>
  <c r="P12" i="3" s="1"/>
  <c r="O13" i="3"/>
  <c r="P13" i="3" s="1"/>
  <c r="O14" i="3"/>
  <c r="O15" i="3"/>
  <c r="P15" i="3" s="1"/>
  <c r="O16" i="3"/>
  <c r="O17" i="3"/>
  <c r="O18" i="3"/>
  <c r="O19" i="3"/>
  <c r="P19" i="3" s="1"/>
  <c r="Q19" i="3" s="1"/>
  <c r="O20" i="3"/>
  <c r="P20" i="3" s="1"/>
  <c r="O21" i="3"/>
  <c r="P21" i="3" s="1"/>
  <c r="O22" i="3"/>
  <c r="O23" i="3"/>
  <c r="P23" i="3" s="1"/>
  <c r="O24" i="3"/>
  <c r="O25" i="3"/>
  <c r="O26" i="3"/>
  <c r="O27" i="3"/>
  <c r="P27" i="3" s="1"/>
  <c r="Q27" i="3" s="1"/>
  <c r="O28" i="3"/>
  <c r="P28" i="3" s="1"/>
  <c r="O29" i="3"/>
  <c r="P29" i="3" s="1"/>
  <c r="O30" i="3"/>
  <c r="O31" i="3"/>
  <c r="P31" i="3" s="1"/>
  <c r="O32" i="3"/>
  <c r="O33" i="3"/>
  <c r="P33" i="3" s="1"/>
  <c r="O34" i="3"/>
  <c r="O35" i="3"/>
  <c r="P35" i="3" s="1"/>
  <c r="Q35" i="3" s="1"/>
  <c r="O36" i="3"/>
  <c r="P36" i="3" s="1"/>
  <c r="O37" i="3"/>
  <c r="P37" i="3" s="1"/>
  <c r="O38" i="3"/>
  <c r="P38" i="3" s="1"/>
  <c r="O39" i="3"/>
  <c r="O40" i="3"/>
  <c r="O41" i="3"/>
  <c r="P41" i="3" s="1"/>
  <c r="O42" i="3"/>
  <c r="O43" i="3"/>
  <c r="P43" i="3" s="1"/>
  <c r="Q43" i="3" s="1"/>
  <c r="O44" i="3"/>
  <c r="P44" i="3" s="1"/>
  <c r="O45" i="3"/>
  <c r="P45" i="3" s="1"/>
  <c r="O46" i="3"/>
  <c r="O47" i="3"/>
  <c r="O48" i="3"/>
  <c r="O49" i="3"/>
  <c r="P49" i="3" s="1"/>
  <c r="O50" i="3"/>
  <c r="O51" i="3"/>
  <c r="P51" i="3" s="1"/>
  <c r="Q51" i="3" s="1"/>
  <c r="O52" i="3"/>
  <c r="P52" i="3" s="1"/>
  <c r="O53" i="3"/>
  <c r="P53" i="3" s="1"/>
  <c r="O54" i="3"/>
  <c r="O24" i="1"/>
  <c r="P24" i="1"/>
  <c r="O25" i="1"/>
  <c r="P25" i="1"/>
  <c r="O26" i="1"/>
  <c r="P26" i="1" s="1"/>
  <c r="O27" i="1"/>
  <c r="P27" i="1" s="1"/>
  <c r="O28" i="1"/>
  <c r="P28" i="1"/>
  <c r="O29" i="1"/>
  <c r="P29" i="1"/>
  <c r="O30" i="1"/>
  <c r="P30" i="1" s="1"/>
  <c r="O31" i="1"/>
  <c r="P31" i="1" s="1"/>
  <c r="O32" i="1"/>
  <c r="P32" i="1"/>
  <c r="O33" i="1"/>
  <c r="P33" i="1"/>
  <c r="O34" i="1"/>
  <c r="P34" i="1" s="1"/>
  <c r="O35" i="1"/>
  <c r="P35" i="1" s="1"/>
  <c r="O36" i="1"/>
  <c r="P36" i="1"/>
  <c r="O37" i="1"/>
  <c r="P37" i="1"/>
  <c r="O38" i="1"/>
  <c r="P38" i="1" s="1"/>
  <c r="O39" i="1"/>
  <c r="P39" i="1" s="1"/>
  <c r="O40" i="1"/>
  <c r="P40" i="1"/>
  <c r="O41" i="1"/>
  <c r="P41" i="1"/>
  <c r="O42" i="1"/>
  <c r="P42" i="1" s="1"/>
  <c r="O43" i="1"/>
  <c r="P43" i="1" s="1"/>
  <c r="O44" i="1"/>
  <c r="P44" i="1"/>
  <c r="O45" i="1"/>
  <c r="P45" i="1"/>
  <c r="O46" i="1"/>
  <c r="P46" i="1" s="1"/>
  <c r="O47" i="1"/>
  <c r="P47" i="1" s="1"/>
  <c r="O48" i="1"/>
  <c r="P48" i="1"/>
  <c r="O49" i="1"/>
  <c r="P49" i="1"/>
  <c r="O50" i="1"/>
  <c r="P50" i="1" s="1"/>
  <c r="O51" i="1"/>
  <c r="P51" i="1" s="1"/>
  <c r="O52" i="1"/>
  <c r="P52" i="1"/>
  <c r="O53" i="1"/>
  <c r="P53" i="1"/>
  <c r="O54" i="1"/>
  <c r="P54" i="1" s="1"/>
  <c r="O7" i="1"/>
  <c r="P7" i="1" s="1"/>
  <c r="O8" i="1"/>
  <c r="P8" i="1"/>
  <c r="O9" i="1"/>
  <c r="P9" i="1"/>
  <c r="O10" i="1"/>
  <c r="P10" i="1" s="1"/>
  <c r="Q10" i="1" s="1"/>
  <c r="O11" i="1"/>
  <c r="P11" i="1" s="1"/>
  <c r="O12" i="1"/>
  <c r="P12" i="1" s="1"/>
  <c r="O13" i="1"/>
  <c r="P13" i="1"/>
  <c r="O14" i="1"/>
  <c r="P14" i="1" s="1"/>
  <c r="O15" i="1"/>
  <c r="P15" i="1" s="1"/>
  <c r="O16" i="1"/>
  <c r="P16" i="1"/>
  <c r="O17" i="1"/>
  <c r="P17" i="1"/>
  <c r="O18" i="1"/>
  <c r="P18" i="1" s="1"/>
  <c r="O19" i="1"/>
  <c r="P19" i="1" s="1"/>
  <c r="O20" i="1"/>
  <c r="P20" i="1"/>
  <c r="O21" i="1"/>
  <c r="P21" i="1"/>
  <c r="Q21" i="1" s="1"/>
  <c r="O22" i="1"/>
  <c r="P22" i="1" s="1"/>
  <c r="O23" i="1"/>
  <c r="P23" i="1" s="1"/>
  <c r="O6" i="1"/>
  <c r="P6" i="1"/>
  <c r="O5" i="1"/>
  <c r="P5" i="1"/>
  <c r="Q19" i="12" l="1"/>
  <c r="Q36" i="12"/>
  <c r="Q35" i="12"/>
  <c r="Q29" i="12"/>
  <c r="Q5" i="12"/>
  <c r="Q28" i="12"/>
  <c r="Q45" i="12"/>
  <c r="Q27" i="12"/>
  <c r="Q6" i="12"/>
  <c r="Q44" i="12"/>
  <c r="Q21" i="12"/>
  <c r="Q43" i="12"/>
  <c r="Q20" i="12"/>
  <c r="Q37" i="12"/>
  <c r="Q13" i="12"/>
  <c r="Q12" i="12"/>
  <c r="Q11" i="12"/>
  <c r="Q50" i="12"/>
  <c r="Q42" i="12"/>
  <c r="Q34" i="12"/>
  <c r="Q26" i="12"/>
  <c r="Q18" i="12"/>
  <c r="Q10" i="12"/>
  <c r="Q49" i="12"/>
  <c r="Q41" i="12"/>
  <c r="Q33" i="12"/>
  <c r="Q25" i="12"/>
  <c r="Q17" i="12"/>
  <c r="Q9" i="12"/>
  <c r="Q48" i="12"/>
  <c r="Q40" i="12"/>
  <c r="Q32" i="12"/>
  <c r="Q24" i="12"/>
  <c r="Q16" i="12"/>
  <c r="Q8" i="12"/>
  <c r="Q47" i="12"/>
  <c r="Q39" i="12"/>
  <c r="Q31" i="12"/>
  <c r="Q23" i="12"/>
  <c r="Q15" i="12"/>
  <c r="Q7" i="12"/>
  <c r="Q46" i="12"/>
  <c r="Q38" i="12"/>
  <c r="Q30" i="12"/>
  <c r="Q22" i="12"/>
  <c r="Q14" i="12"/>
  <c r="AE13" i="9"/>
  <c r="AE22" i="9"/>
  <c r="AE43" i="9"/>
  <c r="Q47" i="1"/>
  <c r="Q41" i="1"/>
  <c r="Q31" i="1"/>
  <c r="Q25" i="1"/>
  <c r="Q30" i="3"/>
  <c r="Q31" i="7"/>
  <c r="Q22" i="7"/>
  <c r="Q13" i="7"/>
  <c r="Q8" i="7"/>
  <c r="AE27" i="9"/>
  <c r="AE20" i="9"/>
  <c r="AE42" i="9"/>
  <c r="AE21" i="9"/>
  <c r="AE9" i="9"/>
  <c r="Q42" i="1"/>
  <c r="Q26" i="1"/>
  <c r="Q11" i="3"/>
  <c r="Q32" i="3"/>
  <c r="Q16" i="3"/>
  <c r="AE52" i="9"/>
  <c r="Q15" i="1"/>
  <c r="Q46" i="1"/>
  <c r="Q30" i="1"/>
  <c r="Q49" i="3"/>
  <c r="Q41" i="3"/>
  <c r="Q33" i="3"/>
  <c r="Q47" i="3"/>
  <c r="Q26" i="3"/>
  <c r="Q10" i="3"/>
  <c r="Q45" i="7"/>
  <c r="Q35" i="7"/>
  <c r="Q26" i="7"/>
  <c r="Q17" i="7"/>
  <c r="Q12" i="7"/>
  <c r="Q46" i="7"/>
  <c r="AE26" i="9"/>
  <c r="AE51" i="9"/>
  <c r="AE41" i="9"/>
  <c r="AE31" i="9"/>
  <c r="AE34" i="9"/>
  <c r="AE33" i="9"/>
  <c r="Q44" i="1"/>
  <c r="Q14" i="1"/>
  <c r="Q51" i="1"/>
  <c r="Q45" i="1"/>
  <c r="Q35" i="1"/>
  <c r="Q29" i="1"/>
  <c r="Q30" i="7"/>
  <c r="Q21" i="7"/>
  <c r="AE25" i="9"/>
  <c r="AE18" i="9"/>
  <c r="AE10" i="9"/>
  <c r="AE40" i="9"/>
  <c r="AE30" i="9"/>
  <c r="AE37" i="9"/>
  <c r="AE39" i="9"/>
  <c r="AE19" i="9"/>
  <c r="Q50" i="1"/>
  <c r="Q34" i="1"/>
  <c r="Q23" i="3"/>
  <c r="Q15" i="3"/>
  <c r="Q7" i="3"/>
  <c r="Q42" i="3"/>
  <c r="Q24" i="3"/>
  <c r="Q8" i="3"/>
  <c r="Q50" i="7"/>
  <c r="Q44" i="7"/>
  <c r="Q34" i="7"/>
  <c r="Q25" i="7"/>
  <c r="Q20" i="7"/>
  <c r="AE17" i="9"/>
  <c r="AE38" i="9"/>
  <c r="AE55" i="9"/>
  <c r="AE32" i="9"/>
  <c r="AE12" i="9"/>
  <c r="AE54" i="9"/>
  <c r="Q19" i="1"/>
  <c r="Q31" i="3"/>
  <c r="Q18" i="1"/>
  <c r="Q9" i="1"/>
  <c r="Q52" i="1"/>
  <c r="Q20" i="1"/>
  <c r="Q53" i="1"/>
  <c r="Q48" i="1"/>
  <c r="Q16" i="1"/>
  <c r="Q7" i="1"/>
  <c r="Q17" i="1"/>
  <c r="Q6" i="1"/>
  <c r="Q28" i="1"/>
  <c r="Q24" i="1"/>
  <c r="Q13" i="1"/>
  <c r="Q49" i="1"/>
  <c r="Q39" i="1"/>
  <c r="Q38" i="3"/>
  <c r="Q40" i="3"/>
  <c r="Q22" i="3"/>
  <c r="Q6" i="3"/>
  <c r="Q49" i="7"/>
  <c r="Q29" i="7"/>
  <c r="Q24" i="7"/>
  <c r="Q15" i="7"/>
  <c r="Q6" i="7"/>
  <c r="AE15" i="9"/>
  <c r="AE7" i="9"/>
  <c r="AE29" i="9"/>
  <c r="AE11" i="9"/>
  <c r="AE16" i="9"/>
  <c r="Q12" i="1"/>
  <c r="Q53" i="3"/>
  <c r="Q37" i="3"/>
  <c r="Q29" i="3"/>
  <c r="Q13" i="3"/>
  <c r="Q25" i="3"/>
  <c r="Q54" i="3"/>
  <c r="Q17" i="3"/>
  <c r="Q14" i="3"/>
  <c r="Q5" i="3"/>
  <c r="Q46" i="3"/>
  <c r="Q34" i="3"/>
  <c r="Q9" i="3"/>
  <c r="Q48" i="3"/>
  <c r="Q39" i="3"/>
  <c r="Q18" i="3"/>
  <c r="Q54" i="7"/>
  <c r="Q48" i="7"/>
  <c r="Q43" i="7"/>
  <c r="Q33" i="7"/>
  <c r="Q28" i="7"/>
  <c r="Q19" i="7"/>
  <c r="AE23" i="9"/>
  <c r="AE14" i="9"/>
  <c r="AE24" i="9"/>
  <c r="AE48" i="9"/>
  <c r="AE6" i="9"/>
  <c r="AE36" i="9"/>
  <c r="AE50" i="9"/>
  <c r="AE47" i="9"/>
  <c r="AE8" i="9"/>
  <c r="Q23" i="1"/>
  <c r="Q54" i="1"/>
  <c r="Q38" i="1"/>
  <c r="Q45" i="3"/>
  <c r="Q21" i="3"/>
  <c r="Q22" i="1"/>
  <c r="Q11" i="1"/>
  <c r="Q43" i="1"/>
  <c r="Q37" i="1"/>
  <c r="Q27" i="1"/>
  <c r="Q52" i="3"/>
  <c r="Q44" i="3"/>
  <c r="Q36" i="3"/>
  <c r="Q28" i="3"/>
  <c r="Q20" i="3"/>
  <c r="Q12" i="3"/>
  <c r="Q53" i="7"/>
  <c r="Q38" i="7"/>
  <c r="Q23" i="7"/>
  <c r="Q7" i="7"/>
  <c r="Q41" i="7"/>
  <c r="Q16" i="7"/>
  <c r="Q5" i="7"/>
  <c r="Q47" i="7"/>
  <c r="Q51" i="7"/>
  <c r="Q18" i="7"/>
  <c r="Q11" i="7"/>
  <c r="Q39" i="7"/>
  <c r="Q32" i="7"/>
  <c r="Q14" i="7"/>
  <c r="Q10" i="7"/>
  <c r="Q36" i="7"/>
  <c r="Q40" i="7"/>
  <c r="AE28" i="9"/>
  <c r="AE53" i="9"/>
  <c r="AE45" i="9"/>
  <c r="AE35" i="9"/>
  <c r="AE49" i="9"/>
  <c r="AE46" i="9"/>
  <c r="Q5" i="1"/>
  <c r="Q32" i="1"/>
  <c r="Q36" i="1"/>
  <c r="Q40" i="1"/>
  <c r="Q33" i="1"/>
  <c r="Q8" i="1"/>
</calcChain>
</file>

<file path=xl/sharedStrings.xml><?xml version="1.0" encoding="utf-8"?>
<sst xmlns="http://schemas.openxmlformats.org/spreadsheetml/2006/main" count="836" uniqueCount="168">
  <si>
    <t>ព្រះរាជាណាចក្រកម្ពុជា</t>
  </si>
  <si>
    <t>ជាតិ​ សាសនា ព្រះមហាក្សត្រ</t>
  </si>
  <si>
    <t>មន្ទីរអប់រំ​​ យុវជន និង​​ កីឡារាជធានីភ្នំពេញ</t>
  </si>
  <si>
    <t>ឆ្នាំសិក្សា​  ២០១៩-២០២០</t>
  </si>
  <si>
    <t>ល រ</t>
  </si>
  <si>
    <t>ឈ្មោះ</t>
  </si>
  <si>
    <t>គង់​   ពិចិត្ររីតា</t>
  </si>
  <si>
    <t>គា  ​​ឈុនង័ង</t>
  </si>
  <si>
    <t>គឹម ​  ណៃយាណា</t>
  </si>
  <si>
    <t>គឿន   សុភក្ត័</t>
  </si>
  <si>
    <t>ចិត្រ  សុជីតា</t>
  </si>
  <si>
    <t>ឆាយ​   សុម៉ានីតា</t>
  </si>
  <si>
    <t>ជា   សុធាវណ្ណ</t>
  </si>
  <si>
    <t>ជាតិ   គីមហុង</t>
  </si>
  <si>
    <t>ជឹម​   ហ្គេចឡេង</t>
  </si>
  <si>
    <t>ឈុន  ចិន្តា</t>
  </si>
  <si>
    <t>ដាង   គីមលី</t>
  </si>
  <si>
    <t>ណែម   រាជសិឬទ្ធីស័ក</t>
  </si>
  <si>
    <t>តាំង  ​គីមលី</t>
  </si>
  <si>
    <t>តាំង  ​ហ្សឺឌីនី</t>
  </si>
  <si>
    <t>ថី   ម៉ារីតា</t>
  </si>
  <si>
    <t>តិះ​    គឹមលី</t>
  </si>
  <si>
    <t>ធូ​​ ​ ទិត្យសត្យា</t>
  </si>
  <si>
    <t>នឹម​​ ​  ​បញ្ញា</t>
  </si>
  <si>
    <t>នួន ​​សាដន</t>
  </si>
  <si>
    <t>ប៉ី   មួយឈៀង</t>
  </si>
  <si>
    <t>ផាត់​​​   ម៉ាលីហ្សា</t>
  </si>
  <si>
    <t>ពៅ   ស្រីនីន</t>
  </si>
  <si>
    <t>ព្រហ្ម   មេត្តា</t>
  </si>
  <si>
    <t>ភាវ   ​គីមនេ</t>
  </si>
  <si>
    <t>ភន់   សុភ័ននៃ</t>
  </si>
  <si>
    <t>ម៉ាន់   សារ៉ាន់</t>
  </si>
  <si>
    <t>ម៉ៅ   រច្ចនា</t>
  </si>
  <si>
    <t>យ៉ាន   ម៉ារីណា</t>
  </si>
  <si>
    <t>យ៉ន   កញ្ញា</t>
  </si>
  <si>
    <t>រី   វណ្ណាលីស</t>
  </si>
  <si>
    <t>រ៉ងវង    វីរ:មល្លិកា</t>
  </si>
  <si>
    <t>រុន  យ៉ានុត</t>
  </si>
  <si>
    <t>វ៉ាន់​​    ដួងពេជ្រម៉ានីតា</t>
  </si>
  <si>
    <t>សួន   សេរីពេជ្រ</t>
  </si>
  <si>
    <t>សុខុន   តារារ័ត្ន</t>
  </si>
  <si>
    <t>សម្បត្តិ  វិសាល</t>
  </si>
  <si>
    <t>ស៊ន    ចន្ទដារី</t>
  </si>
  <si>
    <t>ហាក់   ស៊ុយហៀង</t>
  </si>
  <si>
    <t>ហួត    ស្រីពីន</t>
  </si>
  <si>
    <t>ហេង    ម៉ូនីកា</t>
  </si>
  <si>
    <t>ហ៊ុយ    ហៀង</t>
  </si>
  <si>
    <t>អាន   សុខហេង</t>
  </si>
  <si>
    <t>អ៊ុំ   សុខអាថូនី</t>
  </si>
  <si>
    <t>អឿន   ចាន់សេរី</t>
  </si>
  <si>
    <t>អៀក   សុខហៀង</t>
  </si>
  <si>
    <t>អ៊ិន   សីហា</t>
  </si>
  <si>
    <t>ឯក​    ម៉នសុផា</t>
  </si>
  <si>
    <t>ឯម     ទេពនិម្មិត</t>
  </si>
  <si>
    <t>ខ្មែរ</t>
  </si>
  <si>
    <t>សីល</t>
  </si>
  <si>
    <t>ប្រវត្តិ</t>
  </si>
  <si>
    <t>ភូមិ</t>
  </si>
  <si>
    <t>គណិត</t>
  </si>
  <si>
    <t>រូប</t>
  </si>
  <si>
    <t>គីមី</t>
  </si>
  <si>
    <t>ជីវ</t>
  </si>
  <si>
    <t>ផែន</t>
  </si>
  <si>
    <t>ភាសា</t>
  </si>
  <si>
    <t>គេហ</t>
  </si>
  <si>
    <t>កីឡា</t>
  </si>
  <si>
    <t>ពិន្ទុសរុប</t>
  </si>
  <si>
    <t>មធ្យមភាគ</t>
  </si>
  <si>
    <t>ចំ.ន</t>
  </si>
  <si>
    <t xml:space="preserve">      បានឃើញនិង​ឯកភាព</t>
  </si>
  <si>
    <t xml:space="preserve">         នាយកវិទ្យាល័យ</t>
  </si>
  <si>
    <t>គ្រូបន្ទុកថ្នាក់</t>
  </si>
  <si>
    <r>
      <t>​​​​    វិទ្យាល័យបាក់ទូក​           ថ្នាក់ទី​​  ១០​A</t>
    </r>
    <r>
      <rPr>
        <sz val="8"/>
        <color theme="1"/>
        <rFont val="Khmer OS Battambang"/>
      </rPr>
      <t>2</t>
    </r>
  </si>
  <si>
    <t>ឃាង   ចាន់រ័ត្ន</t>
  </si>
  <si>
    <t>ដន  ណៃហួយ</t>
  </si>
  <si>
    <t>ចំណាត់ថ្នាក់</t>
  </si>
  <si>
    <t>ណុប​    សំបូរ</t>
  </si>
  <si>
    <t>ចំណាត់ថ្នាក់ប្រចាំខែ​12</t>
  </si>
  <si>
    <t>ធ្វើនៅភ្នំពេញថ្ងៃទី…….ខែ…...ឆ្នាំ….....</t>
  </si>
  <si>
    <t>ចំណាត់ថ្នាក់ប្រចាំខែ​1</t>
  </si>
  <si>
    <t>ចំណាត់ថ្នាក់ប្រចាំខែ​​  ​មករា</t>
  </si>
  <si>
    <t>ជឹម​   ហ្គេចឡង</t>
  </si>
  <si>
    <t>តិះ​    ម៉ាលី</t>
  </si>
  <si>
    <t>មិនចាត់ថ្នាក់</t>
  </si>
  <si>
    <t>A</t>
  </si>
  <si>
    <t>ធ្វើនៅភ្នំពេញថ្ងៃទី…….ខែ…...ឆ្នាំ…........</t>
  </si>
  <si>
    <t>ចំណាត់ថ្នាក់ប្រចាំខែ​2</t>
  </si>
  <si>
    <t xml:space="preserve">      ព្រះរាជាណាចក្រកម្ពុជា</t>
  </si>
  <si>
    <t>មន្ទីរអប់រំយុវជន  និង  កីឡារាជធានីភ្នំពេញ</t>
  </si>
  <si>
    <t xml:space="preserve">        ​    ជាតិ   សាសនា    ព្រះមហាក្សត្រ</t>
  </si>
  <si>
    <t xml:space="preserve">  </t>
  </si>
  <si>
    <t xml:space="preserve"> វិទ្យាល័យ បាក់ទូក           ថ្នាក់ទី  ១០A2</t>
  </si>
  <si>
    <t>​​        ឆ្នាំសិក្សា  ២០១៨ -​ ២០១៩</t>
  </si>
  <si>
    <t>ល.រ</t>
  </si>
  <si>
    <t>ផែនដី</t>
  </si>
  <si>
    <t>ពិន្ទុ</t>
  </si>
  <si>
    <t>ម.ធ</t>
  </si>
  <si>
    <t>ចំ</t>
  </si>
  <si>
    <t>សរុប</t>
  </si>
  <si>
    <t>ខែ</t>
  </si>
  <si>
    <t>ឆមាស</t>
  </si>
  <si>
    <t xml:space="preserve"> វិទ្យាល័យ បាក់ទូក                ថ្នាក់ទី  ១០A2</t>
  </si>
  <si>
    <t xml:space="preserve">                 ចំនាត់ថ្នាក់ប្រចាំឆមាសទី១</t>
  </si>
  <si>
    <t xml:space="preserve">   ព្រះរាជាណាចក្រកម្ពុជា</t>
  </si>
  <si>
    <t>ជាតិ​    សាសនា ​ ព្រះមហាក្សត្រ</t>
  </si>
  <si>
    <t>វិទ្យាល័យបាក់ទូក</t>
  </si>
  <si>
    <t>ថ្នាក់ទី ១០A2</t>
  </si>
  <si>
    <t>មធ្យមភាគឆមាស</t>
  </si>
  <si>
    <t>មធ្យមភាគខែ</t>
  </si>
  <si>
    <t>មធ្យមភាគប្រចាំឆមាស</t>
  </si>
  <si>
    <t>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​</t>
  </si>
  <si>
    <t xml:space="preserve">                    </t>
  </si>
  <si>
    <t>ចំណាត់ថ្នាក់ប្រចាំឆមាសទី១</t>
  </si>
  <si>
    <t>ឆ្នាំសិក្សា២០១៩-២០២០</t>
  </si>
  <si>
    <t>​​        ឆ្នាំសិក្សា  ២០១៩ -​ ២០២០</t>
  </si>
  <si>
    <t>ឆ្នាំសិក្សា​  ២០២១-២០២២</t>
  </si>
  <si>
    <t>កង សុបញ្ញា</t>
  </si>
  <si>
    <t>កុសល សុផល្លាភ</t>
  </si>
  <si>
    <t>កែវ រតនាយាន្ទី</t>
  </si>
  <si>
    <t>កែវ ស្រីណុច</t>
  </si>
  <si>
    <t>កែវ ស្រីនាង</t>
  </si>
  <si>
    <t>ខុន ស្រី លាភ</t>
  </si>
  <si>
    <t>ខេង សុវណ្ណ</t>
  </si>
  <si>
    <t>ចែម តុលា</t>
  </si>
  <si>
    <t>ជា សុក្រីត</t>
  </si>
  <si>
    <t>ជា សុវណ្ណមរកត</t>
  </si>
  <si>
    <t>ជ័យ កែវវល័ក្ខ</t>
  </si>
  <si>
    <t>ណៅ ណិលបុលវីរ៉ានី</t>
  </si>
  <si>
    <t>តាំង គ័ងគា</t>
  </si>
  <si>
    <t>ថន រ៉ាដូណា</t>
  </si>
  <si>
    <t>ពៅ រតនា</t>
  </si>
  <si>
    <t>ព្រំ សុធារិទ្ធ</t>
  </si>
  <si>
    <t>ម៉ន លីម៉ី</t>
  </si>
  <si>
    <t>ម៉ិល ធារ៉ា</t>
  </si>
  <si>
    <t>ម៉ោ សែមសុផារិទ្ធ</t>
  </si>
  <si>
    <t>មិ សាក់ស៊ីង</t>
  </si>
  <si>
    <t>រី សុជាតា</t>
  </si>
  <si>
    <t>លី រតន:សុម៉ាលី</t>
  </si>
  <si>
    <t>លី សាហ្វី</t>
  </si>
  <si>
    <t>លឿង វុទ្ធី</t>
  </si>
  <si>
    <t>វ៉ាន់ ចាន់ឋានះ</t>
  </si>
  <si>
    <t>វុធ ឧត្តម</t>
  </si>
  <si>
    <t>សាន សុខជា</t>
  </si>
  <si>
    <t>សារ៉ន សុធម្មមុន្នី</t>
  </si>
  <si>
    <t>សារ៉ន សុធម្មរក្សា</t>
  </si>
  <si>
    <t>សុខ ខៃហ្វុង</t>
  </si>
  <si>
    <t>សុខ ស៊ុនណារី</t>
  </si>
  <si>
    <t>សុខ សុលីនដា</t>
  </si>
  <si>
    <t>សៀន ស្រីណា</t>
  </si>
  <si>
    <t>សំអឿន សុខន</t>
  </si>
  <si>
    <t>ហុង ជីង</t>
  </si>
  <si>
    <t>ហុង ដាពីន</t>
  </si>
  <si>
    <t>ហុង ម៉ាលី</t>
  </si>
  <si>
    <t>ហេង ច័ន្ទដារ័ត្ន</t>
  </si>
  <si>
    <t>ឡុង សូរិយា</t>
  </si>
  <si>
    <t>ឡេង សុខលាង</t>
  </si>
  <si>
    <t>អ៊ឹង សុខទ្រី</t>
  </si>
  <si>
    <t>អាង សំណាង</t>
  </si>
  <si>
    <t>អាន សុខហ៊ាង</t>
  </si>
  <si>
    <t>អៀត គីមហួយ</t>
  </si>
  <si>
    <t>អេង សុវីយ៉ា</t>
  </si>
  <si>
    <t>មូល យូស៊ីម</t>
  </si>
  <si>
    <t>គ្រូទីប្រឹក្សាថ្នាក់</t>
  </si>
  <si>
    <t>ណុប​ សំបូរ</t>
  </si>
  <si>
    <t>រាជធានីភ្នំពេញ ថ្ងៃទី….....ខែ…......ឆ្នាំ២០២២</t>
  </si>
  <si>
    <t>ចំណាត់ថ្នាក់ប្រចាំខែ​​  ​មីនា</t>
  </si>
  <si>
    <t>ចំណាត់ថ្នាក់ប្រចាំខែ​មីនា</t>
  </si>
  <si>
    <r>
      <t>​​​​    វិទ្យាល័យបាក់ទូក​           ថ្នាក់ទី​​  ១០​A</t>
    </r>
    <r>
      <rPr>
        <sz val="8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</si>
</sst>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34">
    <font>
      <sz val="11"/>
      <color theme="1"/>
      <name val="Calibri"/>
      <family val="2"/>
      <scheme val="minor"/>
    </font>
    <font>
      <sz val="11"/>
      <color theme="1"/>
      <name val="Khmer OS"/>
    </font>
    <font>
      <sz val="11"/>
      <color theme="1"/>
      <name val="Khmer OS Battambang"/>
    </font>
    <font>
      <sz val="8"/>
      <color theme="1"/>
      <name val="Khmer OS Battambang"/>
    </font>
    <font>
      <sz val="12"/>
      <color theme="1"/>
      <name val="Calibri"/>
      <family val="2"/>
      <scheme val="minor"/>
    </font>
    <font>
      <sz val="11"/>
      <color rgb="FFFF0000"/>
      <name val="Khmer OS"/>
    </font>
    <font>
      <sz val="12"/>
      <color theme="1"/>
      <name val="Khmer OS"/>
    </font>
    <font>
      <sz val="12"/>
      <name val="Calibri"/>
      <family val="2"/>
      <scheme val="minor"/>
    </font>
    <font>
      <sz val="12"/>
      <name val="Khmer OS"/>
    </font>
    <font>
      <sz val="11"/>
      <name val="Khmer OS Battambang"/>
    </font>
    <font>
      <sz val="11"/>
      <name val="Khmer OS"/>
    </font>
    <font>
      <sz val="11"/>
      <color rgb="FFFF0000"/>
      <name val="Calibri"/>
      <family val="2"/>
      <scheme val="minor"/>
    </font>
    <font>
      <sz val="11"/>
      <color rgb="FFFF0000"/>
      <name val="Khmer OS Battambang"/>
    </font>
    <font>
      <sz val="8"/>
      <color rgb="FF000000"/>
      <name val="Khmer OS Muol"/>
    </font>
    <font>
      <sz val="11"/>
      <color rgb="FF17365D"/>
      <name val="Khmer OS Muol"/>
    </font>
    <font>
      <sz val="11"/>
      <color rgb="FF000000"/>
      <name val="Khmer OS Muol"/>
    </font>
    <font>
      <sz val="11"/>
      <color rgb="FF17365D"/>
      <name val="Khmer OS "/>
    </font>
    <font>
      <sz val="11"/>
      <color rgb="FF000000"/>
      <name val="Khmer OS "/>
    </font>
    <font>
      <sz val="11"/>
      <color rgb="FFFF0000"/>
      <name val="Khmer OS Muol"/>
    </font>
    <font>
      <sz val="8"/>
      <color rgb="FF17365D"/>
      <name val="Khmer OS"/>
    </font>
    <font>
      <sz val="8"/>
      <color rgb="FFFF0000"/>
      <name val="Khmer OS"/>
    </font>
    <font>
      <sz val="8"/>
      <color rgb="FF1F497D"/>
      <name val="Khmer OS"/>
    </font>
    <font>
      <sz val="7"/>
      <color rgb="FF17365D"/>
      <name val="Khmer OS"/>
    </font>
    <font>
      <sz val="9"/>
      <color rgb="FF000000"/>
      <name val="Khmer OS Battambang"/>
    </font>
    <font>
      <sz val="10"/>
      <color rgb="FF000000"/>
      <name val="Khmer OS Battambang"/>
    </font>
    <font>
      <sz val="10"/>
      <color rgb="FF17365D"/>
      <name val="Khmer OS Battambang"/>
    </font>
    <font>
      <sz val="11"/>
      <color rgb="FF000000"/>
      <name val="Khmer OS Battambang"/>
    </font>
    <font>
      <sz val="10"/>
      <color rgb="FFFF0000"/>
      <name val="Khmer OS Battambang"/>
    </font>
    <font>
      <sz val="12"/>
      <name val="Khmer OS Siemreap"/>
    </font>
    <font>
      <sz val="12"/>
      <color theme="1"/>
      <name val="Khmer OS Siemreap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3" xfId="0" applyFont="1" applyBorder="1" applyAlignment="1">
      <alignment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vertical="top"/>
    </xf>
    <xf numFmtId="164" fontId="1" fillId="0" borderId="2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Alignment="1">
      <alignment horizontal="left"/>
    </xf>
    <xf numFmtId="0" fontId="0" fillId="0" borderId="0" xfId="0" applyBorder="1" applyAlignment="1"/>
    <xf numFmtId="0" fontId="0" fillId="0" borderId="4" xfId="0" applyBorder="1" applyAlignment="1"/>
    <xf numFmtId="0" fontId="2" fillId="0" borderId="0" xfId="0" applyFont="1" applyAlignment="1">
      <alignment vertical="center"/>
    </xf>
    <xf numFmtId="0" fontId="2" fillId="0" borderId="3" xfId="0" applyFont="1" applyBorder="1" applyAlignment="1"/>
    <xf numFmtId="0" fontId="2" fillId="0" borderId="3" xfId="0" applyFont="1" applyBorder="1" applyAlignment="1">
      <alignment horizontal="left" indent="2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horizontal="left" indent="6"/>
    </xf>
    <xf numFmtId="164" fontId="1" fillId="0" borderId="2" xfId="0" applyNumberFormat="1" applyFont="1" applyBorder="1" applyAlignment="1">
      <alignment horizontal="left" vertical="center" indent="6"/>
    </xf>
    <xf numFmtId="0" fontId="1" fillId="0" borderId="0" xfId="0" applyFont="1" applyAlignment="1">
      <alignment horizontal="left" indent="13"/>
    </xf>
    <xf numFmtId="0" fontId="1" fillId="0" borderId="0" xfId="0" applyFont="1" applyAlignment="1">
      <alignment horizontal="left" vertical="center" indent="13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Border="1"/>
    <xf numFmtId="1" fontId="10" fillId="0" borderId="4" xfId="0" applyNumberFormat="1" applyFont="1" applyBorder="1" applyAlignment="1">
      <alignment vertical="center"/>
    </xf>
    <xf numFmtId="1" fontId="10" fillId="0" borderId="0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indent="6"/>
    </xf>
    <xf numFmtId="0" fontId="2" fillId="0" borderId="0" xfId="0" applyFont="1" applyAlignment="1">
      <alignment horizontal="left" indent="11"/>
    </xf>
    <xf numFmtId="0" fontId="2" fillId="0" borderId="0" xfId="0" applyFont="1" applyAlignment="1">
      <alignment horizontal="left" indent="9"/>
    </xf>
    <xf numFmtId="0" fontId="2" fillId="0" borderId="0" xfId="0" applyFont="1" applyAlignment="1">
      <alignment horizontal="left" indent="13"/>
    </xf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left" indent="7"/>
    </xf>
    <xf numFmtId="0" fontId="2" fillId="0" borderId="0" xfId="0" applyFont="1" applyAlignment="1">
      <alignment horizontal="left" indent="16"/>
    </xf>
    <xf numFmtId="0" fontId="2" fillId="0" borderId="0" xfId="0" applyFont="1" applyAlignment="1">
      <alignment horizontal="left" indent="21"/>
    </xf>
    <xf numFmtId="0" fontId="2" fillId="0" borderId="3" xfId="0" applyFont="1" applyBorder="1"/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9" xfId="0" applyFont="1" applyBorder="1" applyAlignment="1"/>
    <xf numFmtId="0" fontId="2" fillId="0" borderId="0" xfId="0" applyFont="1" applyBorder="1" applyAlignment="1"/>
    <xf numFmtId="1" fontId="2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3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2" fontId="19" fillId="0" borderId="0" xfId="0" applyNumberFormat="1" applyFont="1" applyAlignment="1">
      <alignment horizontal="center" vertical="top"/>
    </xf>
    <xf numFmtId="2" fontId="19" fillId="0" borderId="0" xfId="0" applyNumberFormat="1" applyFont="1" applyAlignment="1">
      <alignment vertical="top"/>
    </xf>
    <xf numFmtId="0" fontId="21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" fillId="0" borderId="2" xfId="0" applyFont="1" applyBorder="1" applyAlignment="1">
      <alignment horizontal="left" indent="6"/>
    </xf>
    <xf numFmtId="0" fontId="1" fillId="0" borderId="0" xfId="0" applyFont="1" applyBorder="1" applyAlignment="1">
      <alignment horizontal="left" indent="13"/>
    </xf>
    <xf numFmtId="0" fontId="1" fillId="0" borderId="0" xfId="0" applyFont="1" applyBorder="1" applyAlignment="1">
      <alignment horizontal="left" vertical="center" indent="13"/>
    </xf>
    <xf numFmtId="164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left" vertical="center" indent="6"/>
    </xf>
    <xf numFmtId="164" fontId="2" fillId="0" borderId="0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indent="13"/>
    </xf>
    <xf numFmtId="0" fontId="2" fillId="0" borderId="0" xfId="0" applyFont="1" applyAlignment="1">
      <alignment horizontal="left" indent="41"/>
    </xf>
    <xf numFmtId="1" fontId="12" fillId="0" borderId="1" xfId="0" applyNumberFormat="1" applyFont="1" applyBorder="1" applyAlignment="1">
      <alignment horizontal="center" vertical="center"/>
    </xf>
    <xf numFmtId="1" fontId="28" fillId="2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left" indent="14"/>
    </xf>
    <xf numFmtId="0" fontId="2" fillId="0" borderId="0" xfId="0" applyFont="1" applyAlignment="1">
      <alignment horizontal="left" vertical="center" indent="12"/>
    </xf>
    <xf numFmtId="0" fontId="0" fillId="0" borderId="0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23" fillId="0" borderId="1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0" fillId="0" borderId="3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top" indent="1"/>
    </xf>
    <xf numFmtId="0" fontId="33" fillId="0" borderId="0" xfId="0" applyFont="1" applyAlignment="1">
      <alignment horizontal="left" vertical="center" indent="1"/>
    </xf>
    <xf numFmtId="1" fontId="7" fillId="2" borderId="0" xfId="0" applyNumberFormat="1" applyFont="1" applyFill="1" applyBorder="1" applyAlignment="1">
      <alignment vertical="center"/>
    </xf>
    <xf numFmtId="0" fontId="0" fillId="0" borderId="0" xfId="0" applyFont="1" applyBorder="1" applyAlignment="1">
      <alignment vertical="top"/>
    </xf>
    <xf numFmtId="1" fontId="7" fillId="2" borderId="0" xfId="0" applyNumberFormat="1" applyFont="1" applyFill="1" applyBorder="1" applyAlignment="1">
      <alignment horizontal="left" vertical="center" indent="1"/>
    </xf>
    <xf numFmtId="0" fontId="33" fillId="0" borderId="0" xfId="0" applyFont="1" applyAlignment="1">
      <alignment horizontal="left" vertical="center" indent="10"/>
    </xf>
    <xf numFmtId="164" fontId="0" fillId="0" borderId="0" xfId="0" applyNumberFormat="1" applyFont="1" applyBorder="1" applyAlignment="1">
      <alignment horizontal="left" vertical="center" indent="1"/>
    </xf>
    <xf numFmtId="0" fontId="33" fillId="0" borderId="0" xfId="0" applyFont="1" applyAlignment="1">
      <alignment horizontal="left" vertical="center" indent="12"/>
    </xf>
    <xf numFmtId="0" fontId="0" fillId="0" borderId="0" xfId="0" applyFont="1" applyAlignment="1">
      <alignment horizontal="center" vertical="center"/>
    </xf>
    <xf numFmtId="49" fontId="29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opLeftCell="B49" zoomScale="115" zoomScaleNormal="115" workbookViewId="0">
      <selection activeCell="B55" sqref="B55:Q56"/>
    </sheetView>
  </sheetViews>
  <sheetFormatPr defaultRowHeight="14.25"/>
  <cols>
    <col min="1" max="1" width="4.59765625" customWidth="1"/>
    <col min="2" max="2" width="20.6640625" customWidth="1"/>
    <col min="3" max="3" width="7.33203125" customWidth="1"/>
    <col min="4" max="4" width="6.33203125" customWidth="1"/>
    <col min="5" max="6" width="6.796875" customWidth="1"/>
    <col min="7" max="7" width="8.265625" customWidth="1"/>
    <col min="8" max="8" width="6.796875" customWidth="1"/>
    <col min="9" max="9" width="6.6640625" customWidth="1"/>
    <col min="10" max="11" width="6.265625" customWidth="1"/>
    <col min="12" max="12" width="7.6640625" customWidth="1"/>
    <col min="13" max="13" width="7.19921875" customWidth="1"/>
    <col min="14" max="14" width="6.9296875" customWidth="1"/>
    <col min="15" max="15" width="8.796875" customWidth="1"/>
    <col min="16" max="16" width="9.59765625" customWidth="1"/>
    <col min="17" max="17" width="11.06640625" customWidth="1"/>
  </cols>
  <sheetData>
    <row r="1" spans="1:18" ht="20.25" customHeight="1">
      <c r="A1" s="1"/>
      <c r="B1" s="1"/>
      <c r="C1" s="1"/>
      <c r="D1" s="1"/>
      <c r="E1" s="1"/>
      <c r="F1" s="1"/>
      <c r="G1" s="2"/>
      <c r="H1" s="1"/>
      <c r="I1" s="2" t="s">
        <v>0</v>
      </c>
      <c r="J1" s="2"/>
      <c r="K1" s="2"/>
      <c r="L1" s="1"/>
      <c r="M1" s="1"/>
      <c r="N1" s="1"/>
      <c r="O1" s="1"/>
    </row>
    <row r="2" spans="1:18">
      <c r="A2" s="3" t="s">
        <v>2</v>
      </c>
      <c r="B2" s="3"/>
      <c r="C2" s="3"/>
      <c r="D2" s="3"/>
      <c r="E2" s="1"/>
      <c r="F2" s="1"/>
      <c r="G2" s="2"/>
      <c r="H2" s="1"/>
      <c r="I2" s="2" t="s">
        <v>1</v>
      </c>
      <c r="J2" s="2"/>
      <c r="K2" s="3"/>
      <c r="L2" s="3"/>
      <c r="M2" s="1"/>
      <c r="N2" s="1"/>
      <c r="O2" s="1"/>
    </row>
    <row r="3" spans="1:18" ht="20.65" customHeight="1">
      <c r="A3" s="3" t="s">
        <v>72</v>
      </c>
      <c r="B3" s="3"/>
      <c r="C3" s="3"/>
      <c r="D3" s="3"/>
      <c r="E3" s="1"/>
      <c r="F3" s="4"/>
      <c r="G3" s="4"/>
      <c r="H3" s="92" t="s">
        <v>86</v>
      </c>
      <c r="I3" s="92"/>
      <c r="J3" s="92"/>
      <c r="K3" s="4"/>
      <c r="L3" s="1"/>
      <c r="M3" s="1"/>
      <c r="N3" s="1"/>
      <c r="O3" s="1" t="s">
        <v>3</v>
      </c>
      <c r="P3" s="1"/>
      <c r="Q3" s="1"/>
      <c r="R3" s="1"/>
    </row>
    <row r="4" spans="1:18" ht="22.9" customHeight="1">
      <c r="A4" s="5" t="s">
        <v>4</v>
      </c>
      <c r="B4" s="6" t="s">
        <v>5</v>
      </c>
      <c r="C4" s="38" t="s">
        <v>54</v>
      </c>
      <c r="D4" s="38" t="s">
        <v>55</v>
      </c>
      <c r="E4" s="38" t="s">
        <v>56</v>
      </c>
      <c r="F4" s="38" t="s">
        <v>57</v>
      </c>
      <c r="G4" s="38" t="s">
        <v>58</v>
      </c>
      <c r="H4" s="38" t="s">
        <v>59</v>
      </c>
      <c r="I4" s="38" t="s">
        <v>60</v>
      </c>
      <c r="J4" s="38" t="s">
        <v>61</v>
      </c>
      <c r="K4" s="38" t="s">
        <v>62</v>
      </c>
      <c r="L4" s="38" t="s">
        <v>63</v>
      </c>
      <c r="M4" s="38" t="s">
        <v>64</v>
      </c>
      <c r="N4" s="38" t="s">
        <v>65</v>
      </c>
      <c r="O4" s="6" t="s">
        <v>66</v>
      </c>
      <c r="P4" s="6" t="s">
        <v>67</v>
      </c>
      <c r="Q4" s="6" t="s">
        <v>68</v>
      </c>
    </row>
    <row r="5" spans="1:18" ht="19.05" customHeight="1">
      <c r="A5" s="7">
        <v>1</v>
      </c>
      <c r="B5" s="8" t="s">
        <v>6</v>
      </c>
      <c r="C5" s="22">
        <v>120</v>
      </c>
      <c r="D5" s="22">
        <v>36</v>
      </c>
      <c r="E5" s="22">
        <v>34</v>
      </c>
      <c r="F5" s="12">
        <v>38</v>
      </c>
      <c r="G5" s="22">
        <v>120</v>
      </c>
      <c r="H5" s="22">
        <v>45</v>
      </c>
      <c r="I5" s="22">
        <v>36</v>
      </c>
      <c r="J5" s="22">
        <v>36</v>
      </c>
      <c r="K5" s="22">
        <v>25</v>
      </c>
      <c r="L5" s="22">
        <v>95</v>
      </c>
      <c r="M5" s="22">
        <v>34</v>
      </c>
      <c r="N5" s="22">
        <v>45</v>
      </c>
      <c r="O5" s="22">
        <f t="shared" ref="O5:O36" si="0">SUM(C5,D5,E5,F5,G5,H5,I5,J5,K5,L5,M5,N5)</f>
        <v>664</v>
      </c>
      <c r="P5" s="23">
        <f t="shared" ref="P5:P36" si="1">SUM(O5/15)</f>
        <v>44.266666666666666</v>
      </c>
      <c r="Q5" s="22">
        <f t="shared" ref="Q5:Q36" si="2">RANK(P5,$P$5:$P$54,0)</f>
        <v>4</v>
      </c>
    </row>
    <row r="6" spans="1:18" ht="19.05" customHeight="1">
      <c r="A6" s="7">
        <v>2</v>
      </c>
      <c r="B6" s="8" t="s">
        <v>7</v>
      </c>
      <c r="C6" s="22">
        <v>80</v>
      </c>
      <c r="D6" s="22">
        <v>36</v>
      </c>
      <c r="E6" s="22">
        <v>34</v>
      </c>
      <c r="F6" s="12">
        <v>38</v>
      </c>
      <c r="G6" s="22">
        <v>110</v>
      </c>
      <c r="H6" s="22">
        <v>0</v>
      </c>
      <c r="I6" s="22">
        <v>0</v>
      </c>
      <c r="J6" s="22">
        <v>37</v>
      </c>
      <c r="K6" s="22">
        <v>15</v>
      </c>
      <c r="L6" s="22">
        <v>94</v>
      </c>
      <c r="M6" s="22">
        <v>37</v>
      </c>
      <c r="N6" s="22">
        <v>45</v>
      </c>
      <c r="O6" s="22">
        <f t="shared" si="0"/>
        <v>526</v>
      </c>
      <c r="P6" s="23">
        <f t="shared" si="1"/>
        <v>35.06666666666667</v>
      </c>
      <c r="Q6" s="22">
        <f t="shared" si="2"/>
        <v>24</v>
      </c>
    </row>
    <row r="7" spans="1:18" ht="19.05" customHeight="1">
      <c r="A7" s="7">
        <v>3</v>
      </c>
      <c r="B7" s="8" t="s">
        <v>8</v>
      </c>
      <c r="C7" s="22">
        <v>80</v>
      </c>
      <c r="D7" s="22">
        <v>0</v>
      </c>
      <c r="E7" s="22">
        <v>0</v>
      </c>
      <c r="F7" s="12">
        <v>34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91</v>
      </c>
      <c r="M7" s="22">
        <v>0</v>
      </c>
      <c r="N7" s="22">
        <v>0</v>
      </c>
      <c r="O7" s="22">
        <f t="shared" si="0"/>
        <v>205</v>
      </c>
      <c r="P7" s="23">
        <f t="shared" si="1"/>
        <v>13.666666666666666</v>
      </c>
      <c r="Q7" s="22">
        <f t="shared" si="2"/>
        <v>45</v>
      </c>
    </row>
    <row r="8" spans="1:18" ht="19.05" customHeight="1">
      <c r="A8" s="7">
        <v>4</v>
      </c>
      <c r="B8" s="8" t="s">
        <v>9</v>
      </c>
      <c r="C8" s="22">
        <v>95</v>
      </c>
      <c r="D8" s="22">
        <v>36</v>
      </c>
      <c r="E8" s="22">
        <v>33</v>
      </c>
      <c r="F8" s="12">
        <v>34</v>
      </c>
      <c r="G8" s="22">
        <v>10</v>
      </c>
      <c r="H8" s="22">
        <v>0</v>
      </c>
      <c r="I8" s="22">
        <v>10</v>
      </c>
      <c r="J8" s="22">
        <v>36</v>
      </c>
      <c r="K8" s="22">
        <v>24</v>
      </c>
      <c r="L8" s="22">
        <v>94</v>
      </c>
      <c r="M8" s="22">
        <v>36</v>
      </c>
      <c r="N8" s="22">
        <v>0</v>
      </c>
      <c r="O8" s="22">
        <f t="shared" si="0"/>
        <v>408</v>
      </c>
      <c r="P8" s="23">
        <f t="shared" si="1"/>
        <v>27.2</v>
      </c>
      <c r="Q8" s="22">
        <f t="shared" si="2"/>
        <v>34</v>
      </c>
    </row>
    <row r="9" spans="1:18" ht="19.05" customHeight="1">
      <c r="A9" s="7">
        <v>5</v>
      </c>
      <c r="B9" s="8" t="s">
        <v>73</v>
      </c>
      <c r="C9" s="22">
        <v>30</v>
      </c>
      <c r="D9" s="22">
        <v>36</v>
      </c>
      <c r="E9" s="22">
        <v>32</v>
      </c>
      <c r="F9" s="12">
        <v>34</v>
      </c>
      <c r="G9" s="22">
        <v>100</v>
      </c>
      <c r="H9" s="22">
        <v>10</v>
      </c>
      <c r="I9" s="22">
        <v>8</v>
      </c>
      <c r="J9" s="22">
        <v>36</v>
      </c>
      <c r="K9" s="22">
        <v>23</v>
      </c>
      <c r="L9" s="22">
        <v>93</v>
      </c>
      <c r="M9" s="22">
        <v>34</v>
      </c>
      <c r="N9" s="22">
        <v>46</v>
      </c>
      <c r="O9" s="22">
        <f t="shared" si="0"/>
        <v>482</v>
      </c>
      <c r="P9" s="23">
        <f t="shared" si="1"/>
        <v>32.133333333333333</v>
      </c>
      <c r="Q9" s="22">
        <f t="shared" si="2"/>
        <v>29</v>
      </c>
    </row>
    <row r="10" spans="1:18" ht="19.05" customHeight="1">
      <c r="A10" s="7">
        <v>6</v>
      </c>
      <c r="B10" s="8" t="s">
        <v>10</v>
      </c>
      <c r="C10" s="22">
        <v>115</v>
      </c>
      <c r="D10" s="22">
        <v>37</v>
      </c>
      <c r="E10" s="22">
        <v>34</v>
      </c>
      <c r="F10" s="12">
        <v>38</v>
      </c>
      <c r="G10" s="22">
        <v>120</v>
      </c>
      <c r="H10" s="22">
        <v>50</v>
      </c>
      <c r="I10" s="22">
        <v>30</v>
      </c>
      <c r="J10" s="22">
        <v>37</v>
      </c>
      <c r="K10" s="22">
        <v>24</v>
      </c>
      <c r="L10" s="22">
        <v>92</v>
      </c>
      <c r="M10" s="22">
        <v>37</v>
      </c>
      <c r="N10" s="22">
        <v>45</v>
      </c>
      <c r="O10" s="22">
        <f t="shared" si="0"/>
        <v>659</v>
      </c>
      <c r="P10" s="23">
        <f t="shared" si="1"/>
        <v>43.93333333333333</v>
      </c>
      <c r="Q10" s="22">
        <f t="shared" si="2"/>
        <v>5</v>
      </c>
    </row>
    <row r="11" spans="1:18" ht="19.05" customHeight="1">
      <c r="A11" s="7">
        <v>7</v>
      </c>
      <c r="B11" s="8" t="s">
        <v>11</v>
      </c>
      <c r="C11" s="22">
        <v>80</v>
      </c>
      <c r="D11" s="22">
        <v>34</v>
      </c>
      <c r="E11" s="22">
        <v>0</v>
      </c>
      <c r="F11" s="12">
        <v>38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91</v>
      </c>
      <c r="M11" s="22">
        <v>0</v>
      </c>
      <c r="N11" s="22">
        <v>45</v>
      </c>
      <c r="O11" s="22">
        <f t="shared" si="0"/>
        <v>288</v>
      </c>
      <c r="P11" s="23">
        <f t="shared" si="1"/>
        <v>19.2</v>
      </c>
      <c r="Q11" s="22">
        <f t="shared" si="2"/>
        <v>42</v>
      </c>
    </row>
    <row r="12" spans="1:18" ht="19.05" customHeight="1">
      <c r="A12" s="7">
        <v>8</v>
      </c>
      <c r="B12" s="8" t="s">
        <v>12</v>
      </c>
      <c r="C12" s="22">
        <v>130</v>
      </c>
      <c r="D12" s="22">
        <v>37</v>
      </c>
      <c r="E12" s="22">
        <v>36</v>
      </c>
      <c r="F12" s="12">
        <v>38</v>
      </c>
      <c r="G12" s="22">
        <v>145</v>
      </c>
      <c r="H12" s="22">
        <v>50</v>
      </c>
      <c r="I12" s="22">
        <v>35</v>
      </c>
      <c r="J12" s="22">
        <v>37</v>
      </c>
      <c r="K12" s="22">
        <v>25</v>
      </c>
      <c r="L12" s="22">
        <v>95</v>
      </c>
      <c r="M12" s="22">
        <v>37</v>
      </c>
      <c r="N12" s="22">
        <v>45</v>
      </c>
      <c r="O12" s="22">
        <f t="shared" si="0"/>
        <v>710</v>
      </c>
      <c r="P12" s="23">
        <f t="shared" si="1"/>
        <v>47.333333333333336</v>
      </c>
      <c r="Q12" s="22">
        <f t="shared" si="2"/>
        <v>1</v>
      </c>
    </row>
    <row r="13" spans="1:18" ht="19.05" customHeight="1">
      <c r="A13" s="7">
        <v>9</v>
      </c>
      <c r="B13" s="8" t="s">
        <v>13</v>
      </c>
      <c r="C13" s="22">
        <v>20</v>
      </c>
      <c r="D13" s="22">
        <v>36</v>
      </c>
      <c r="E13" s="22">
        <v>35</v>
      </c>
      <c r="F13" s="12">
        <v>38</v>
      </c>
      <c r="G13" s="22">
        <v>110</v>
      </c>
      <c r="H13" s="22">
        <v>5</v>
      </c>
      <c r="I13" s="22">
        <v>8</v>
      </c>
      <c r="J13" s="22">
        <v>37</v>
      </c>
      <c r="K13" s="22">
        <v>0</v>
      </c>
      <c r="L13" s="22">
        <v>0</v>
      </c>
      <c r="M13" s="22">
        <v>0</v>
      </c>
      <c r="N13" s="22">
        <v>45</v>
      </c>
      <c r="O13" s="22">
        <f t="shared" si="0"/>
        <v>334</v>
      </c>
      <c r="P13" s="23">
        <f t="shared" si="1"/>
        <v>22.266666666666666</v>
      </c>
      <c r="Q13" s="22">
        <f t="shared" si="2"/>
        <v>39</v>
      </c>
    </row>
    <row r="14" spans="1:18" ht="19.05" customHeight="1">
      <c r="A14" s="7">
        <v>10</v>
      </c>
      <c r="B14" s="8" t="s">
        <v>81</v>
      </c>
      <c r="C14" s="22">
        <v>65</v>
      </c>
      <c r="D14" s="22">
        <v>36</v>
      </c>
      <c r="E14" s="22">
        <v>34</v>
      </c>
      <c r="F14" s="12">
        <v>38</v>
      </c>
      <c r="G14" s="22">
        <v>120</v>
      </c>
      <c r="H14" s="22">
        <v>50</v>
      </c>
      <c r="I14" s="22">
        <v>8</v>
      </c>
      <c r="J14" s="22">
        <v>36</v>
      </c>
      <c r="K14" s="22">
        <v>20</v>
      </c>
      <c r="L14" s="22">
        <v>95</v>
      </c>
      <c r="M14" s="22">
        <v>0</v>
      </c>
      <c r="N14" s="22">
        <v>45</v>
      </c>
      <c r="O14" s="22">
        <f t="shared" si="0"/>
        <v>547</v>
      </c>
      <c r="P14" s="23">
        <f t="shared" si="1"/>
        <v>36.466666666666669</v>
      </c>
      <c r="Q14" s="22">
        <f t="shared" si="2"/>
        <v>21</v>
      </c>
    </row>
    <row r="15" spans="1:18" ht="19.05" customHeight="1">
      <c r="A15" s="7">
        <v>11</v>
      </c>
      <c r="B15" s="8" t="s">
        <v>15</v>
      </c>
      <c r="C15" s="22">
        <v>120</v>
      </c>
      <c r="D15" s="22">
        <v>36</v>
      </c>
      <c r="E15" s="22">
        <v>33</v>
      </c>
      <c r="F15" s="12">
        <v>34</v>
      </c>
      <c r="G15" s="22">
        <v>45</v>
      </c>
      <c r="H15" s="22">
        <v>0</v>
      </c>
      <c r="I15" s="22">
        <v>10</v>
      </c>
      <c r="J15" s="22">
        <v>37</v>
      </c>
      <c r="K15" s="22">
        <v>25</v>
      </c>
      <c r="L15" s="22">
        <v>95</v>
      </c>
      <c r="M15" s="22">
        <v>35</v>
      </c>
      <c r="N15" s="22">
        <v>0</v>
      </c>
      <c r="O15" s="22">
        <f t="shared" si="0"/>
        <v>470</v>
      </c>
      <c r="P15" s="23">
        <f t="shared" si="1"/>
        <v>31.333333333333332</v>
      </c>
      <c r="Q15" s="22">
        <f t="shared" si="2"/>
        <v>30</v>
      </c>
    </row>
    <row r="16" spans="1:18" ht="19.05" customHeight="1">
      <c r="A16" s="7">
        <v>12</v>
      </c>
      <c r="B16" s="8" t="s">
        <v>74</v>
      </c>
      <c r="C16" s="22">
        <v>120</v>
      </c>
      <c r="D16" s="22">
        <v>36</v>
      </c>
      <c r="E16" s="22">
        <v>34</v>
      </c>
      <c r="F16" s="12">
        <v>38</v>
      </c>
      <c r="G16" s="22">
        <v>120</v>
      </c>
      <c r="H16" s="22">
        <v>10</v>
      </c>
      <c r="I16" s="22">
        <v>36</v>
      </c>
      <c r="J16" s="22">
        <v>37</v>
      </c>
      <c r="K16" s="22">
        <v>24</v>
      </c>
      <c r="L16" s="22">
        <v>90</v>
      </c>
      <c r="M16" s="22">
        <v>37</v>
      </c>
      <c r="N16" s="22">
        <v>45</v>
      </c>
      <c r="O16" s="22">
        <f t="shared" si="0"/>
        <v>627</v>
      </c>
      <c r="P16" s="23">
        <f t="shared" si="1"/>
        <v>41.8</v>
      </c>
      <c r="Q16" s="22">
        <f t="shared" si="2"/>
        <v>10</v>
      </c>
    </row>
    <row r="17" spans="1:18" ht="19.05" customHeight="1">
      <c r="A17" s="7">
        <v>13</v>
      </c>
      <c r="B17" s="8" t="s">
        <v>16</v>
      </c>
      <c r="C17" s="22">
        <v>80</v>
      </c>
      <c r="D17" s="22">
        <v>36</v>
      </c>
      <c r="E17" s="22">
        <v>33</v>
      </c>
      <c r="F17" s="12">
        <v>34</v>
      </c>
      <c r="G17" s="22">
        <v>15</v>
      </c>
      <c r="H17" s="22">
        <v>0</v>
      </c>
      <c r="I17" s="22">
        <v>10</v>
      </c>
      <c r="J17" s="22">
        <v>0</v>
      </c>
      <c r="K17" s="22">
        <v>25</v>
      </c>
      <c r="L17" s="22">
        <v>92</v>
      </c>
      <c r="M17" s="22">
        <v>35</v>
      </c>
      <c r="N17" s="22">
        <v>46</v>
      </c>
      <c r="O17" s="22">
        <f t="shared" si="0"/>
        <v>406</v>
      </c>
      <c r="P17" s="23">
        <f t="shared" si="1"/>
        <v>27.066666666666666</v>
      </c>
      <c r="Q17" s="22">
        <f t="shared" si="2"/>
        <v>35</v>
      </c>
      <c r="R17" s="39"/>
    </row>
    <row r="18" spans="1:18" ht="19.05" customHeight="1">
      <c r="A18" s="7">
        <v>14</v>
      </c>
      <c r="B18" s="8" t="s">
        <v>17</v>
      </c>
      <c r="C18" s="22">
        <v>20</v>
      </c>
      <c r="D18" s="22">
        <v>0</v>
      </c>
      <c r="E18" s="22">
        <v>25</v>
      </c>
      <c r="F18" s="12">
        <v>34</v>
      </c>
      <c r="G18" s="22">
        <v>90</v>
      </c>
      <c r="H18" s="22">
        <v>5</v>
      </c>
      <c r="I18" s="22">
        <v>0</v>
      </c>
      <c r="J18" s="22">
        <v>37</v>
      </c>
      <c r="K18" s="22">
        <v>24</v>
      </c>
      <c r="L18" s="22">
        <v>0</v>
      </c>
      <c r="M18" s="22">
        <v>35</v>
      </c>
      <c r="N18" s="22">
        <v>0</v>
      </c>
      <c r="O18" s="22">
        <f t="shared" si="0"/>
        <v>270</v>
      </c>
      <c r="P18" s="23">
        <f t="shared" si="1"/>
        <v>18</v>
      </c>
      <c r="Q18" s="22">
        <f t="shared" si="2"/>
        <v>43</v>
      </c>
    </row>
    <row r="19" spans="1:18" ht="19.05" customHeight="1">
      <c r="A19" s="7">
        <v>15</v>
      </c>
      <c r="B19" s="8" t="s">
        <v>82</v>
      </c>
      <c r="C19" s="22">
        <v>80</v>
      </c>
      <c r="D19" s="22">
        <v>34</v>
      </c>
      <c r="E19" s="22">
        <v>34</v>
      </c>
      <c r="F19" s="12">
        <v>34</v>
      </c>
      <c r="G19" s="22">
        <v>90</v>
      </c>
      <c r="H19" s="22">
        <v>10</v>
      </c>
      <c r="I19" s="22">
        <v>10</v>
      </c>
      <c r="J19" s="22">
        <v>36</v>
      </c>
      <c r="K19" s="22">
        <v>24</v>
      </c>
      <c r="L19" s="22">
        <v>93</v>
      </c>
      <c r="M19" s="22">
        <v>35</v>
      </c>
      <c r="N19" s="22">
        <v>45</v>
      </c>
      <c r="O19" s="22">
        <f t="shared" si="0"/>
        <v>525</v>
      </c>
      <c r="P19" s="23">
        <f t="shared" si="1"/>
        <v>35</v>
      </c>
      <c r="Q19" s="22">
        <f t="shared" si="2"/>
        <v>25</v>
      </c>
      <c r="R19" s="39"/>
    </row>
    <row r="20" spans="1:18" ht="19.05" customHeight="1">
      <c r="A20" s="7">
        <v>16</v>
      </c>
      <c r="B20" s="8" t="s">
        <v>18</v>
      </c>
      <c r="C20" s="22">
        <v>110</v>
      </c>
      <c r="D20" s="22">
        <v>36</v>
      </c>
      <c r="E20" s="22">
        <v>35</v>
      </c>
      <c r="F20" s="12">
        <v>38</v>
      </c>
      <c r="G20" s="22">
        <v>120</v>
      </c>
      <c r="H20" s="22">
        <v>25</v>
      </c>
      <c r="I20" s="22">
        <v>34</v>
      </c>
      <c r="J20" s="22">
        <v>36</v>
      </c>
      <c r="K20" s="22">
        <v>25</v>
      </c>
      <c r="L20" s="22">
        <v>95</v>
      </c>
      <c r="M20" s="22">
        <v>35</v>
      </c>
      <c r="N20" s="22">
        <v>45</v>
      </c>
      <c r="O20" s="22">
        <f t="shared" si="0"/>
        <v>634</v>
      </c>
      <c r="P20" s="23">
        <f t="shared" si="1"/>
        <v>42.266666666666666</v>
      </c>
      <c r="Q20" s="22">
        <f t="shared" si="2"/>
        <v>9</v>
      </c>
    </row>
    <row r="21" spans="1:18" ht="19.05" customHeight="1">
      <c r="A21" s="7">
        <v>17</v>
      </c>
      <c r="B21" s="8" t="s">
        <v>19</v>
      </c>
      <c r="C21" s="22">
        <v>110</v>
      </c>
      <c r="D21" s="22">
        <v>37</v>
      </c>
      <c r="E21" s="22">
        <v>35</v>
      </c>
      <c r="F21" s="12">
        <v>38</v>
      </c>
      <c r="G21" s="22">
        <v>148</v>
      </c>
      <c r="H21" s="22">
        <v>34</v>
      </c>
      <c r="I21" s="22">
        <v>2</v>
      </c>
      <c r="J21" s="22">
        <v>37</v>
      </c>
      <c r="K21" s="22">
        <v>24</v>
      </c>
      <c r="L21" s="22">
        <v>93</v>
      </c>
      <c r="M21" s="22">
        <v>37</v>
      </c>
      <c r="N21" s="22">
        <v>45</v>
      </c>
      <c r="O21" s="22">
        <f t="shared" si="0"/>
        <v>640</v>
      </c>
      <c r="P21" s="23">
        <f t="shared" si="1"/>
        <v>42.666666666666664</v>
      </c>
      <c r="Q21" s="22">
        <f t="shared" si="2"/>
        <v>7</v>
      </c>
    </row>
    <row r="22" spans="1:18" ht="19.05" customHeight="1">
      <c r="A22" s="7">
        <v>18</v>
      </c>
      <c r="B22" s="8" t="s">
        <v>20</v>
      </c>
      <c r="C22" s="22">
        <v>35</v>
      </c>
      <c r="D22" s="22">
        <v>34</v>
      </c>
      <c r="E22" s="22">
        <v>32</v>
      </c>
      <c r="F22" s="12">
        <v>34</v>
      </c>
      <c r="G22" s="22">
        <v>90</v>
      </c>
      <c r="H22" s="22">
        <v>50</v>
      </c>
      <c r="I22" s="22">
        <v>0</v>
      </c>
      <c r="J22" s="22">
        <v>35</v>
      </c>
      <c r="K22" s="22">
        <v>13</v>
      </c>
      <c r="L22" s="22">
        <v>96</v>
      </c>
      <c r="M22" s="22">
        <v>34</v>
      </c>
      <c r="N22" s="22">
        <v>45</v>
      </c>
      <c r="O22" s="22">
        <f t="shared" si="0"/>
        <v>498</v>
      </c>
      <c r="P22" s="23">
        <f t="shared" si="1"/>
        <v>33.200000000000003</v>
      </c>
      <c r="Q22" s="22">
        <f t="shared" si="2"/>
        <v>28</v>
      </c>
    </row>
    <row r="23" spans="1:18" ht="19.05" customHeight="1">
      <c r="A23" s="7">
        <v>19</v>
      </c>
      <c r="B23" s="8" t="s">
        <v>22</v>
      </c>
      <c r="C23" s="22">
        <v>90</v>
      </c>
      <c r="D23" s="22">
        <v>36</v>
      </c>
      <c r="E23" s="22">
        <v>30</v>
      </c>
      <c r="F23" s="12">
        <v>38</v>
      </c>
      <c r="G23" s="22">
        <v>100</v>
      </c>
      <c r="H23" s="22">
        <v>0</v>
      </c>
      <c r="I23" s="22">
        <v>0</v>
      </c>
      <c r="J23" s="22">
        <v>35</v>
      </c>
      <c r="K23" s="22">
        <v>15</v>
      </c>
      <c r="L23" s="22">
        <v>93</v>
      </c>
      <c r="M23" s="22">
        <v>35</v>
      </c>
      <c r="N23" s="22">
        <v>47</v>
      </c>
      <c r="O23" s="22">
        <f t="shared" si="0"/>
        <v>519</v>
      </c>
      <c r="P23" s="23">
        <f t="shared" si="1"/>
        <v>34.6</v>
      </c>
      <c r="Q23" s="22">
        <f t="shared" si="2"/>
        <v>26</v>
      </c>
      <c r="R23" s="39"/>
    </row>
    <row r="24" spans="1:18" ht="19.05" customHeight="1">
      <c r="A24" s="7">
        <v>20</v>
      </c>
      <c r="B24" s="8" t="s">
        <v>23</v>
      </c>
      <c r="C24" s="22">
        <v>110</v>
      </c>
      <c r="D24" s="22">
        <v>36</v>
      </c>
      <c r="E24" s="22">
        <v>35</v>
      </c>
      <c r="F24" s="12">
        <v>38</v>
      </c>
      <c r="G24" s="22">
        <v>120</v>
      </c>
      <c r="H24" s="22">
        <v>10</v>
      </c>
      <c r="I24" s="22">
        <v>34</v>
      </c>
      <c r="J24" s="22">
        <v>37</v>
      </c>
      <c r="K24" s="22">
        <v>25</v>
      </c>
      <c r="L24" s="22">
        <v>92</v>
      </c>
      <c r="M24" s="22">
        <v>37</v>
      </c>
      <c r="N24" s="22">
        <v>45</v>
      </c>
      <c r="O24" s="22">
        <f t="shared" si="0"/>
        <v>619</v>
      </c>
      <c r="P24" s="23">
        <f t="shared" si="1"/>
        <v>41.266666666666666</v>
      </c>
      <c r="Q24" s="22">
        <f t="shared" si="2"/>
        <v>13</v>
      </c>
    </row>
    <row r="25" spans="1:18" ht="19.05" customHeight="1">
      <c r="A25" s="7">
        <v>21</v>
      </c>
      <c r="B25" s="8" t="s">
        <v>24</v>
      </c>
      <c r="C25" s="22">
        <v>70</v>
      </c>
      <c r="D25" s="22">
        <v>36</v>
      </c>
      <c r="E25" s="22">
        <v>35</v>
      </c>
      <c r="F25" s="12">
        <v>38</v>
      </c>
      <c r="G25" s="22">
        <v>120</v>
      </c>
      <c r="H25" s="22">
        <v>10</v>
      </c>
      <c r="I25" s="22">
        <v>34</v>
      </c>
      <c r="J25" s="22">
        <v>36</v>
      </c>
      <c r="K25" s="22">
        <v>25</v>
      </c>
      <c r="L25" s="22">
        <v>95</v>
      </c>
      <c r="M25" s="22">
        <v>37</v>
      </c>
      <c r="N25" s="22">
        <v>45</v>
      </c>
      <c r="O25" s="22">
        <f t="shared" si="0"/>
        <v>581</v>
      </c>
      <c r="P25" s="23">
        <f t="shared" si="1"/>
        <v>38.733333333333334</v>
      </c>
      <c r="Q25" s="22">
        <f t="shared" si="2"/>
        <v>18</v>
      </c>
    </row>
    <row r="26" spans="1:18" ht="19.05" customHeight="1">
      <c r="A26" s="7">
        <v>22</v>
      </c>
      <c r="B26" s="8" t="s">
        <v>25</v>
      </c>
      <c r="C26" s="22">
        <v>110</v>
      </c>
      <c r="D26" s="22">
        <v>34</v>
      </c>
      <c r="E26" s="22">
        <v>32</v>
      </c>
      <c r="F26" s="12">
        <v>34</v>
      </c>
      <c r="G26" s="22">
        <v>100</v>
      </c>
      <c r="H26" s="22">
        <v>10</v>
      </c>
      <c r="I26" s="22">
        <v>30</v>
      </c>
      <c r="J26" s="22">
        <v>37</v>
      </c>
      <c r="K26" s="22">
        <v>24</v>
      </c>
      <c r="L26" s="22">
        <v>95</v>
      </c>
      <c r="M26" s="22">
        <v>35</v>
      </c>
      <c r="N26" s="22">
        <v>47</v>
      </c>
      <c r="O26" s="22">
        <f t="shared" si="0"/>
        <v>588</v>
      </c>
      <c r="P26" s="23">
        <f t="shared" si="1"/>
        <v>39.200000000000003</v>
      </c>
      <c r="Q26" s="22">
        <f t="shared" si="2"/>
        <v>17</v>
      </c>
      <c r="R26" s="39"/>
    </row>
    <row r="27" spans="1:18" ht="19.05" customHeight="1">
      <c r="A27" s="7">
        <v>23</v>
      </c>
      <c r="B27" s="8" t="s">
        <v>26</v>
      </c>
      <c r="C27" s="22">
        <v>90</v>
      </c>
      <c r="D27" s="22">
        <v>36</v>
      </c>
      <c r="E27" s="22">
        <v>35</v>
      </c>
      <c r="F27" s="12">
        <v>38</v>
      </c>
      <c r="G27" s="22">
        <v>140</v>
      </c>
      <c r="H27" s="22">
        <v>10</v>
      </c>
      <c r="I27" s="22">
        <v>2</v>
      </c>
      <c r="J27" s="22">
        <v>37</v>
      </c>
      <c r="K27" s="22">
        <v>25</v>
      </c>
      <c r="L27" s="22">
        <v>95</v>
      </c>
      <c r="M27" s="22">
        <v>37</v>
      </c>
      <c r="N27" s="22">
        <v>45</v>
      </c>
      <c r="O27" s="22">
        <f t="shared" si="0"/>
        <v>590</v>
      </c>
      <c r="P27" s="23">
        <f t="shared" si="1"/>
        <v>39.333333333333336</v>
      </c>
      <c r="Q27" s="22">
        <f t="shared" si="2"/>
        <v>16</v>
      </c>
    </row>
    <row r="28" spans="1:18" ht="19.05" customHeight="1">
      <c r="A28" s="7">
        <v>24</v>
      </c>
      <c r="B28" s="8" t="s">
        <v>27</v>
      </c>
      <c r="C28" s="22">
        <v>120</v>
      </c>
      <c r="D28" s="22">
        <v>35</v>
      </c>
      <c r="E28" s="22">
        <v>34</v>
      </c>
      <c r="F28" s="12">
        <v>38</v>
      </c>
      <c r="G28" s="22">
        <v>120</v>
      </c>
      <c r="H28" s="22">
        <v>10</v>
      </c>
      <c r="I28" s="22">
        <v>2</v>
      </c>
      <c r="J28" s="22">
        <v>37</v>
      </c>
      <c r="K28" s="22">
        <v>25</v>
      </c>
      <c r="L28" s="22">
        <v>96</v>
      </c>
      <c r="M28" s="22">
        <v>36</v>
      </c>
      <c r="N28" s="22">
        <v>45</v>
      </c>
      <c r="O28" s="22">
        <f t="shared" si="0"/>
        <v>598</v>
      </c>
      <c r="P28" s="23">
        <f t="shared" si="1"/>
        <v>39.866666666666667</v>
      </c>
      <c r="Q28" s="22">
        <f t="shared" si="2"/>
        <v>15</v>
      </c>
    </row>
    <row r="29" spans="1:18" ht="19.05" customHeight="1">
      <c r="A29" s="7">
        <v>25</v>
      </c>
      <c r="B29" s="8" t="s">
        <v>28</v>
      </c>
      <c r="C29" s="22">
        <v>70</v>
      </c>
      <c r="D29" s="22">
        <v>36</v>
      </c>
      <c r="E29" s="22">
        <v>34</v>
      </c>
      <c r="F29" s="12">
        <v>38</v>
      </c>
      <c r="G29" s="22">
        <v>120</v>
      </c>
      <c r="H29" s="22">
        <v>50</v>
      </c>
      <c r="I29" s="22">
        <v>34</v>
      </c>
      <c r="J29" s="22">
        <v>36</v>
      </c>
      <c r="K29" s="22">
        <v>25</v>
      </c>
      <c r="L29" s="22">
        <v>94</v>
      </c>
      <c r="M29" s="22">
        <v>35</v>
      </c>
      <c r="N29" s="22">
        <v>48</v>
      </c>
      <c r="O29" s="22">
        <f t="shared" si="0"/>
        <v>620</v>
      </c>
      <c r="P29" s="23">
        <f t="shared" si="1"/>
        <v>41.333333333333336</v>
      </c>
      <c r="Q29" s="22">
        <f t="shared" si="2"/>
        <v>12</v>
      </c>
      <c r="R29" s="39"/>
    </row>
    <row r="30" spans="1:18" ht="19.05" customHeight="1">
      <c r="A30" s="7">
        <v>26</v>
      </c>
      <c r="B30" s="8" t="s">
        <v>29</v>
      </c>
      <c r="C30" s="22">
        <v>100</v>
      </c>
      <c r="D30" s="22">
        <v>37</v>
      </c>
      <c r="E30" s="22">
        <v>34</v>
      </c>
      <c r="F30" s="12">
        <v>38</v>
      </c>
      <c r="G30" s="22">
        <v>145</v>
      </c>
      <c r="H30" s="22">
        <v>50</v>
      </c>
      <c r="I30" s="22">
        <v>35</v>
      </c>
      <c r="J30" s="22">
        <v>37</v>
      </c>
      <c r="K30" s="22">
        <v>25</v>
      </c>
      <c r="L30" s="22">
        <v>96</v>
      </c>
      <c r="M30" s="22">
        <v>37</v>
      </c>
      <c r="N30" s="22">
        <v>45</v>
      </c>
      <c r="O30" s="22">
        <f t="shared" si="0"/>
        <v>679</v>
      </c>
      <c r="P30" s="23">
        <f t="shared" si="1"/>
        <v>45.266666666666666</v>
      </c>
      <c r="Q30" s="22">
        <f t="shared" si="2"/>
        <v>3</v>
      </c>
    </row>
    <row r="31" spans="1:18" ht="19.05" customHeight="1">
      <c r="A31" s="7">
        <v>27</v>
      </c>
      <c r="B31" s="8" t="s">
        <v>30</v>
      </c>
      <c r="C31" s="22">
        <v>50</v>
      </c>
      <c r="D31" s="22">
        <v>34</v>
      </c>
      <c r="E31" s="22">
        <v>32</v>
      </c>
      <c r="F31" s="12">
        <v>34</v>
      </c>
      <c r="G31" s="22">
        <v>100</v>
      </c>
      <c r="H31" s="22">
        <v>50</v>
      </c>
      <c r="I31" s="22">
        <v>30</v>
      </c>
      <c r="J31" s="22">
        <v>37</v>
      </c>
      <c r="K31" s="22">
        <v>15</v>
      </c>
      <c r="L31" s="22">
        <v>92</v>
      </c>
      <c r="M31" s="22">
        <v>35</v>
      </c>
      <c r="N31" s="22">
        <v>47</v>
      </c>
      <c r="O31" s="22">
        <f t="shared" si="0"/>
        <v>556</v>
      </c>
      <c r="P31" s="23">
        <f t="shared" si="1"/>
        <v>37.06666666666667</v>
      </c>
      <c r="Q31" s="22">
        <f t="shared" si="2"/>
        <v>20</v>
      </c>
      <c r="R31" s="39"/>
    </row>
    <row r="32" spans="1:18" ht="19.05" customHeight="1">
      <c r="A32" s="7">
        <v>28</v>
      </c>
      <c r="B32" s="8" t="s">
        <v>31</v>
      </c>
      <c r="C32" s="22">
        <v>60</v>
      </c>
      <c r="D32" s="22">
        <v>0</v>
      </c>
      <c r="E32" s="22">
        <v>0</v>
      </c>
      <c r="F32" s="12">
        <v>38</v>
      </c>
      <c r="G32" s="22">
        <v>0</v>
      </c>
      <c r="H32" s="22">
        <v>0</v>
      </c>
      <c r="I32" s="22">
        <v>0</v>
      </c>
      <c r="J32" s="22">
        <v>37</v>
      </c>
      <c r="K32" s="22">
        <v>0</v>
      </c>
      <c r="L32" s="22">
        <v>0</v>
      </c>
      <c r="M32" s="22">
        <v>0</v>
      </c>
      <c r="N32" s="22">
        <v>45</v>
      </c>
      <c r="O32" s="22">
        <f t="shared" si="0"/>
        <v>180</v>
      </c>
      <c r="P32" s="23">
        <f t="shared" si="1"/>
        <v>12</v>
      </c>
      <c r="Q32" s="22">
        <f t="shared" si="2"/>
        <v>46</v>
      </c>
    </row>
    <row r="33" spans="1:18" ht="19.05" customHeight="1">
      <c r="A33" s="7">
        <v>29</v>
      </c>
      <c r="B33" s="8" t="s">
        <v>32</v>
      </c>
      <c r="C33" s="22">
        <v>80</v>
      </c>
      <c r="D33" s="22">
        <v>34</v>
      </c>
      <c r="E33" s="22">
        <v>0</v>
      </c>
      <c r="F33" s="12">
        <v>34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95</v>
      </c>
      <c r="M33" s="22">
        <v>0</v>
      </c>
      <c r="N33" s="22">
        <v>0</v>
      </c>
      <c r="O33" s="22">
        <f t="shared" si="0"/>
        <v>243</v>
      </c>
      <c r="P33" s="23">
        <f t="shared" si="1"/>
        <v>16.2</v>
      </c>
      <c r="Q33" s="22">
        <f t="shared" si="2"/>
        <v>44</v>
      </c>
    </row>
    <row r="34" spans="1:18" ht="19.05" customHeight="1">
      <c r="A34" s="7">
        <v>30</v>
      </c>
      <c r="B34" s="8" t="s">
        <v>33</v>
      </c>
      <c r="C34" s="22">
        <v>20</v>
      </c>
      <c r="D34" s="22">
        <v>36</v>
      </c>
      <c r="E34" s="22">
        <v>34</v>
      </c>
      <c r="F34" s="12">
        <v>34</v>
      </c>
      <c r="G34" s="22">
        <v>30</v>
      </c>
      <c r="H34" s="22">
        <v>5</v>
      </c>
      <c r="I34" s="22">
        <v>8</v>
      </c>
      <c r="J34" s="22">
        <v>36</v>
      </c>
      <c r="K34" s="22">
        <v>24</v>
      </c>
      <c r="L34" s="22">
        <v>80</v>
      </c>
      <c r="M34" s="22">
        <v>34</v>
      </c>
      <c r="N34" s="22">
        <v>46</v>
      </c>
      <c r="O34" s="22">
        <f t="shared" si="0"/>
        <v>387</v>
      </c>
      <c r="P34" s="23">
        <f t="shared" si="1"/>
        <v>25.8</v>
      </c>
      <c r="Q34" s="22">
        <f t="shared" si="2"/>
        <v>37</v>
      </c>
    </row>
    <row r="35" spans="1:18" ht="19.05" customHeight="1">
      <c r="A35" s="7">
        <v>31</v>
      </c>
      <c r="B35" s="8" t="s">
        <v>34</v>
      </c>
      <c r="C35" s="22">
        <v>90</v>
      </c>
      <c r="D35" s="22">
        <v>36</v>
      </c>
      <c r="E35" s="22">
        <v>34</v>
      </c>
      <c r="F35" s="12">
        <v>34</v>
      </c>
      <c r="G35" s="22">
        <v>80</v>
      </c>
      <c r="H35" s="22">
        <v>10</v>
      </c>
      <c r="I35" s="22">
        <v>8</v>
      </c>
      <c r="J35" s="22">
        <v>36</v>
      </c>
      <c r="K35" s="22">
        <v>25</v>
      </c>
      <c r="L35" s="22">
        <v>80</v>
      </c>
      <c r="M35" s="22">
        <v>34</v>
      </c>
      <c r="N35" s="22">
        <v>45</v>
      </c>
      <c r="O35" s="22">
        <f t="shared" si="0"/>
        <v>512</v>
      </c>
      <c r="P35" s="23">
        <f t="shared" si="1"/>
        <v>34.133333333333333</v>
      </c>
      <c r="Q35" s="22">
        <f t="shared" si="2"/>
        <v>27</v>
      </c>
    </row>
    <row r="36" spans="1:18" ht="19.05" customHeight="1">
      <c r="A36" s="7">
        <v>32</v>
      </c>
      <c r="B36" s="8" t="s">
        <v>35</v>
      </c>
      <c r="C36" s="22">
        <v>80</v>
      </c>
      <c r="D36" s="22">
        <v>0</v>
      </c>
      <c r="E36" s="22">
        <v>25</v>
      </c>
      <c r="F36" s="12">
        <v>38</v>
      </c>
      <c r="G36" s="22">
        <v>110</v>
      </c>
      <c r="H36" s="22">
        <v>0</v>
      </c>
      <c r="I36" s="22">
        <v>0</v>
      </c>
      <c r="J36" s="22">
        <v>0</v>
      </c>
      <c r="K36" s="22">
        <v>0</v>
      </c>
      <c r="L36" s="22">
        <v>91</v>
      </c>
      <c r="M36" s="22">
        <v>0</v>
      </c>
      <c r="N36" s="22">
        <v>45</v>
      </c>
      <c r="O36" s="22">
        <f t="shared" si="0"/>
        <v>389</v>
      </c>
      <c r="P36" s="23">
        <f t="shared" si="1"/>
        <v>25.933333333333334</v>
      </c>
      <c r="Q36" s="22">
        <f t="shared" si="2"/>
        <v>36</v>
      </c>
    </row>
    <row r="37" spans="1:18" ht="19.05" customHeight="1">
      <c r="A37" s="7">
        <v>33</v>
      </c>
      <c r="B37" s="8" t="s">
        <v>36</v>
      </c>
      <c r="C37" s="22">
        <v>120</v>
      </c>
      <c r="D37" s="22">
        <v>36</v>
      </c>
      <c r="E37" s="22">
        <v>34</v>
      </c>
      <c r="F37" s="12">
        <v>38</v>
      </c>
      <c r="G37" s="22">
        <v>130</v>
      </c>
      <c r="H37" s="22">
        <v>28</v>
      </c>
      <c r="I37" s="22">
        <v>2</v>
      </c>
      <c r="J37" s="22">
        <v>37</v>
      </c>
      <c r="K37" s="22">
        <v>24</v>
      </c>
      <c r="L37" s="22">
        <v>96</v>
      </c>
      <c r="M37" s="22">
        <v>36</v>
      </c>
      <c r="N37" s="22">
        <v>45</v>
      </c>
      <c r="O37" s="22">
        <f t="shared" ref="O37:O54" si="3">SUM(C37,D37,E37,F37,G37,H37,I37,J37,K37,L37,M37,N37)</f>
        <v>626</v>
      </c>
      <c r="P37" s="23">
        <f t="shared" ref="P37:P54" si="4">SUM(O37/15)</f>
        <v>41.733333333333334</v>
      </c>
      <c r="Q37" s="22">
        <f t="shared" ref="Q37:Q54" si="5">RANK(P37,$P$5:$P$54,0)</f>
        <v>11</v>
      </c>
    </row>
    <row r="38" spans="1:18" ht="19.05" customHeight="1">
      <c r="A38" s="7">
        <v>34</v>
      </c>
      <c r="B38" s="8" t="s">
        <v>37</v>
      </c>
      <c r="C38" s="22">
        <v>100</v>
      </c>
      <c r="D38" s="22">
        <v>36</v>
      </c>
      <c r="E38" s="22">
        <v>32</v>
      </c>
      <c r="F38" s="12">
        <v>34</v>
      </c>
      <c r="G38" s="22">
        <v>45</v>
      </c>
      <c r="H38" s="22">
        <v>10</v>
      </c>
      <c r="I38" s="22">
        <v>10</v>
      </c>
      <c r="J38" s="22">
        <v>37</v>
      </c>
      <c r="K38" s="22">
        <v>14</v>
      </c>
      <c r="L38" s="22">
        <v>94</v>
      </c>
      <c r="M38" s="22">
        <v>35</v>
      </c>
      <c r="N38" s="22">
        <v>0</v>
      </c>
      <c r="O38" s="22">
        <f t="shared" si="3"/>
        <v>447</v>
      </c>
      <c r="P38" s="23">
        <f t="shared" si="4"/>
        <v>29.8</v>
      </c>
      <c r="Q38" s="22">
        <f t="shared" si="5"/>
        <v>31</v>
      </c>
    </row>
    <row r="39" spans="1:18" ht="19.05" customHeight="1">
      <c r="A39" s="7">
        <v>35</v>
      </c>
      <c r="B39" s="8" t="s">
        <v>38</v>
      </c>
      <c r="C39" s="22">
        <v>90</v>
      </c>
      <c r="D39" s="22">
        <v>34</v>
      </c>
      <c r="E39" s="22">
        <v>34</v>
      </c>
      <c r="F39" s="12">
        <v>38</v>
      </c>
      <c r="G39" s="22">
        <v>100</v>
      </c>
      <c r="H39" s="22">
        <v>10</v>
      </c>
      <c r="I39" s="22">
        <v>8</v>
      </c>
      <c r="J39" s="22">
        <v>37</v>
      </c>
      <c r="K39" s="22">
        <v>15</v>
      </c>
      <c r="L39" s="22">
        <v>92</v>
      </c>
      <c r="M39" s="22">
        <v>34</v>
      </c>
      <c r="N39" s="22">
        <v>45</v>
      </c>
      <c r="O39" s="22">
        <f t="shared" si="3"/>
        <v>537</v>
      </c>
      <c r="P39" s="23">
        <f t="shared" si="4"/>
        <v>35.799999999999997</v>
      </c>
      <c r="Q39" s="22">
        <f t="shared" si="5"/>
        <v>22</v>
      </c>
      <c r="R39" s="39"/>
    </row>
    <row r="40" spans="1:18" ht="19.05" customHeight="1">
      <c r="A40" s="7">
        <v>36</v>
      </c>
      <c r="B40" s="8" t="s">
        <v>39</v>
      </c>
      <c r="C40" s="22">
        <v>0</v>
      </c>
      <c r="D40" s="22">
        <v>0</v>
      </c>
      <c r="E40" s="22">
        <v>0</v>
      </c>
      <c r="F40" s="1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f t="shared" si="3"/>
        <v>0</v>
      </c>
      <c r="P40" s="23">
        <f t="shared" si="4"/>
        <v>0</v>
      </c>
      <c r="Q40" s="22">
        <f t="shared" si="5"/>
        <v>47</v>
      </c>
    </row>
    <row r="41" spans="1:18" ht="19.05" customHeight="1">
      <c r="A41" s="7">
        <v>37</v>
      </c>
      <c r="B41" s="8" t="s">
        <v>40</v>
      </c>
      <c r="C41" s="22">
        <v>100</v>
      </c>
      <c r="D41" s="22">
        <v>36</v>
      </c>
      <c r="E41" s="22">
        <v>34</v>
      </c>
      <c r="F41" s="12">
        <v>38</v>
      </c>
      <c r="G41" s="22">
        <v>120</v>
      </c>
      <c r="H41" s="22">
        <v>5</v>
      </c>
      <c r="I41" s="22">
        <v>10</v>
      </c>
      <c r="J41" s="22">
        <v>36</v>
      </c>
      <c r="K41" s="22">
        <v>15</v>
      </c>
      <c r="L41" s="22">
        <v>91</v>
      </c>
      <c r="M41" s="22">
        <v>35</v>
      </c>
      <c r="N41" s="22">
        <v>45</v>
      </c>
      <c r="O41" s="22">
        <f t="shared" si="3"/>
        <v>565</v>
      </c>
      <c r="P41" s="23">
        <f t="shared" si="4"/>
        <v>37.666666666666664</v>
      </c>
      <c r="Q41" s="22">
        <f t="shared" si="5"/>
        <v>19</v>
      </c>
    </row>
    <row r="42" spans="1:18" ht="19.05" customHeight="1">
      <c r="A42" s="7">
        <v>38</v>
      </c>
      <c r="B42" s="8" t="s">
        <v>41</v>
      </c>
      <c r="C42" s="22">
        <v>90</v>
      </c>
      <c r="D42" s="22">
        <v>36</v>
      </c>
      <c r="E42" s="22">
        <v>25</v>
      </c>
      <c r="F42" s="12">
        <v>34</v>
      </c>
      <c r="G42" s="22">
        <v>10</v>
      </c>
      <c r="H42" s="22">
        <v>10</v>
      </c>
      <c r="I42" s="22">
        <v>0</v>
      </c>
      <c r="J42" s="22">
        <v>35</v>
      </c>
      <c r="K42" s="22">
        <v>25</v>
      </c>
      <c r="L42" s="22">
        <v>0</v>
      </c>
      <c r="M42" s="22">
        <v>35</v>
      </c>
      <c r="N42" s="22">
        <v>0</v>
      </c>
      <c r="O42" s="22">
        <f t="shared" si="3"/>
        <v>300</v>
      </c>
      <c r="P42" s="23">
        <f t="shared" si="4"/>
        <v>20</v>
      </c>
      <c r="Q42" s="22">
        <f t="shared" si="5"/>
        <v>41</v>
      </c>
    </row>
    <row r="43" spans="1:18" ht="19.05" customHeight="1">
      <c r="A43" s="7">
        <v>39</v>
      </c>
      <c r="B43" s="8" t="s">
        <v>42</v>
      </c>
      <c r="C43" s="22">
        <v>120</v>
      </c>
      <c r="D43" s="22">
        <v>37</v>
      </c>
      <c r="E43" s="22">
        <v>33</v>
      </c>
      <c r="F43" s="12">
        <v>38</v>
      </c>
      <c r="G43" s="22">
        <v>135</v>
      </c>
      <c r="H43" s="22">
        <v>10</v>
      </c>
      <c r="I43" s="22">
        <v>34</v>
      </c>
      <c r="J43" s="22">
        <v>35</v>
      </c>
      <c r="K43" s="22">
        <v>24</v>
      </c>
      <c r="L43" s="22">
        <v>95</v>
      </c>
      <c r="M43" s="22">
        <v>37</v>
      </c>
      <c r="N43" s="22">
        <v>45</v>
      </c>
      <c r="O43" s="22">
        <f t="shared" si="3"/>
        <v>643</v>
      </c>
      <c r="P43" s="23">
        <f t="shared" si="4"/>
        <v>42.866666666666667</v>
      </c>
      <c r="Q43" s="22">
        <f t="shared" si="5"/>
        <v>6</v>
      </c>
    </row>
    <row r="44" spans="1:18" ht="19.05" customHeight="1">
      <c r="A44" s="7">
        <v>40</v>
      </c>
      <c r="B44" s="8" t="s">
        <v>43</v>
      </c>
      <c r="C44" s="22">
        <v>120</v>
      </c>
      <c r="D44" s="22">
        <v>36</v>
      </c>
      <c r="E44" s="22">
        <v>34</v>
      </c>
      <c r="F44" s="12">
        <v>38</v>
      </c>
      <c r="G44" s="22">
        <v>130</v>
      </c>
      <c r="H44" s="22">
        <v>10</v>
      </c>
      <c r="I44" s="22">
        <v>2</v>
      </c>
      <c r="J44" s="22">
        <v>36</v>
      </c>
      <c r="K44" s="22">
        <v>25</v>
      </c>
      <c r="L44" s="22">
        <v>94</v>
      </c>
      <c r="M44" s="22">
        <v>36</v>
      </c>
      <c r="N44" s="22">
        <v>45</v>
      </c>
      <c r="O44" s="22">
        <f t="shared" si="3"/>
        <v>606</v>
      </c>
      <c r="P44" s="23">
        <f t="shared" si="4"/>
        <v>40.4</v>
      </c>
      <c r="Q44" s="22">
        <f t="shared" si="5"/>
        <v>14</v>
      </c>
    </row>
    <row r="45" spans="1:18" ht="19.05" customHeight="1">
      <c r="A45" s="7">
        <v>41</v>
      </c>
      <c r="B45" s="8" t="s">
        <v>44</v>
      </c>
      <c r="C45" s="22">
        <v>0</v>
      </c>
      <c r="D45" s="22">
        <v>0</v>
      </c>
      <c r="E45" s="22">
        <v>0</v>
      </c>
      <c r="F45" s="3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f t="shared" si="3"/>
        <v>0</v>
      </c>
      <c r="P45" s="23">
        <f t="shared" si="4"/>
        <v>0</v>
      </c>
      <c r="Q45" s="22">
        <f t="shared" si="5"/>
        <v>47</v>
      </c>
    </row>
    <row r="46" spans="1:18" ht="19.05" customHeight="1">
      <c r="A46" s="7">
        <v>42</v>
      </c>
      <c r="B46" s="8" t="s">
        <v>45</v>
      </c>
      <c r="C46" s="22">
        <v>90</v>
      </c>
      <c r="D46" s="22">
        <v>36</v>
      </c>
      <c r="E46" s="22">
        <v>33</v>
      </c>
      <c r="F46" s="12">
        <v>38</v>
      </c>
      <c r="G46" s="22">
        <v>20</v>
      </c>
      <c r="H46" s="22">
        <v>40</v>
      </c>
      <c r="I46" s="22">
        <v>8</v>
      </c>
      <c r="J46" s="22">
        <v>0</v>
      </c>
      <c r="K46" s="22">
        <v>24</v>
      </c>
      <c r="L46" s="22">
        <v>93</v>
      </c>
      <c r="M46" s="22">
        <v>34</v>
      </c>
      <c r="N46" s="22">
        <v>0</v>
      </c>
      <c r="O46" s="22">
        <f t="shared" si="3"/>
        <v>416</v>
      </c>
      <c r="P46" s="23">
        <f t="shared" si="4"/>
        <v>27.733333333333334</v>
      </c>
      <c r="Q46" s="22">
        <f t="shared" si="5"/>
        <v>33</v>
      </c>
    </row>
    <row r="47" spans="1:18" ht="19.05" customHeight="1">
      <c r="A47" s="7">
        <v>43</v>
      </c>
      <c r="B47" s="8" t="s">
        <v>46</v>
      </c>
      <c r="C47" s="22">
        <v>80</v>
      </c>
      <c r="D47" s="22">
        <v>36</v>
      </c>
      <c r="E47" s="22">
        <v>32</v>
      </c>
      <c r="F47" s="12">
        <v>38</v>
      </c>
      <c r="G47" s="22">
        <v>0</v>
      </c>
      <c r="H47" s="22">
        <v>10</v>
      </c>
      <c r="I47" s="22">
        <v>8</v>
      </c>
      <c r="J47" s="22">
        <v>0</v>
      </c>
      <c r="K47" s="22">
        <v>15</v>
      </c>
      <c r="L47" s="22">
        <v>90</v>
      </c>
      <c r="M47" s="22">
        <v>30</v>
      </c>
      <c r="N47" s="22">
        <v>45</v>
      </c>
      <c r="O47" s="22">
        <f t="shared" si="3"/>
        <v>384</v>
      </c>
      <c r="P47" s="23">
        <f t="shared" si="4"/>
        <v>25.6</v>
      </c>
      <c r="Q47" s="22">
        <f t="shared" si="5"/>
        <v>38</v>
      </c>
    </row>
    <row r="48" spans="1:18" ht="19.05" customHeight="1">
      <c r="A48" s="7">
        <v>44</v>
      </c>
      <c r="B48" s="8" t="s">
        <v>47</v>
      </c>
      <c r="C48" s="22">
        <v>120</v>
      </c>
      <c r="D48" s="22">
        <v>36</v>
      </c>
      <c r="E48" s="22">
        <v>35</v>
      </c>
      <c r="F48" s="12">
        <v>38</v>
      </c>
      <c r="G48" s="22">
        <v>130</v>
      </c>
      <c r="H48" s="22">
        <v>5</v>
      </c>
      <c r="I48" s="22">
        <v>36</v>
      </c>
      <c r="J48" s="22">
        <v>35</v>
      </c>
      <c r="K48" s="22">
        <v>25</v>
      </c>
      <c r="L48" s="22">
        <v>95</v>
      </c>
      <c r="M48" s="22">
        <v>37</v>
      </c>
      <c r="N48" s="22">
        <v>45</v>
      </c>
      <c r="O48" s="22">
        <f t="shared" si="3"/>
        <v>637</v>
      </c>
      <c r="P48" s="23">
        <f t="shared" si="4"/>
        <v>42.466666666666669</v>
      </c>
      <c r="Q48" s="22">
        <f t="shared" si="5"/>
        <v>8</v>
      </c>
    </row>
    <row r="49" spans="1:17" ht="19.05" customHeight="1">
      <c r="A49" s="7">
        <v>45</v>
      </c>
      <c r="B49" s="8" t="s">
        <v>48</v>
      </c>
      <c r="C49" s="22">
        <v>80</v>
      </c>
      <c r="D49" s="22">
        <v>36</v>
      </c>
      <c r="E49" s="22">
        <v>25</v>
      </c>
      <c r="F49" s="12">
        <v>38</v>
      </c>
      <c r="G49" s="22">
        <v>110</v>
      </c>
      <c r="H49" s="22">
        <v>0</v>
      </c>
      <c r="I49" s="22">
        <v>0</v>
      </c>
      <c r="J49" s="22">
        <v>35</v>
      </c>
      <c r="K49" s="22">
        <v>13</v>
      </c>
      <c r="L49" s="22">
        <v>0</v>
      </c>
      <c r="M49" s="22">
        <v>35</v>
      </c>
      <c r="N49" s="22">
        <v>45</v>
      </c>
      <c r="O49" s="22">
        <f t="shared" si="3"/>
        <v>417</v>
      </c>
      <c r="P49" s="23">
        <f t="shared" si="4"/>
        <v>27.8</v>
      </c>
      <c r="Q49" s="22">
        <f t="shared" si="5"/>
        <v>32</v>
      </c>
    </row>
    <row r="50" spans="1:17" ht="19.05" customHeight="1">
      <c r="A50" s="7">
        <v>46</v>
      </c>
      <c r="B50" s="8" t="s">
        <v>49</v>
      </c>
      <c r="C50" s="22">
        <v>50</v>
      </c>
      <c r="D50" s="22">
        <v>36</v>
      </c>
      <c r="E50" s="22">
        <v>32</v>
      </c>
      <c r="F50" s="12">
        <v>38</v>
      </c>
      <c r="G50" s="22">
        <v>120</v>
      </c>
      <c r="H50" s="22">
        <v>15</v>
      </c>
      <c r="I50" s="22">
        <v>10</v>
      </c>
      <c r="J50" s="22">
        <v>36</v>
      </c>
      <c r="K50" s="22">
        <v>24</v>
      </c>
      <c r="L50" s="22">
        <v>92</v>
      </c>
      <c r="M50" s="22">
        <v>34</v>
      </c>
      <c r="N50" s="22">
        <v>45</v>
      </c>
      <c r="O50" s="22">
        <f t="shared" si="3"/>
        <v>532</v>
      </c>
      <c r="P50" s="23">
        <f t="shared" si="4"/>
        <v>35.466666666666669</v>
      </c>
      <c r="Q50" s="22">
        <f t="shared" si="5"/>
        <v>23</v>
      </c>
    </row>
    <row r="51" spans="1:17" ht="19.05" customHeight="1">
      <c r="A51" s="7">
        <v>47</v>
      </c>
      <c r="B51" s="8" t="s">
        <v>50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f t="shared" si="3"/>
        <v>0</v>
      </c>
      <c r="P51" s="23">
        <f t="shared" si="4"/>
        <v>0</v>
      </c>
      <c r="Q51" s="22">
        <f t="shared" si="5"/>
        <v>47</v>
      </c>
    </row>
    <row r="52" spans="1:17" ht="19.05" customHeight="1">
      <c r="A52" s="7">
        <v>48</v>
      </c>
      <c r="B52" s="8" t="s">
        <v>51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f t="shared" si="3"/>
        <v>0</v>
      </c>
      <c r="P52" s="23">
        <f t="shared" si="4"/>
        <v>0</v>
      </c>
      <c r="Q52" s="22">
        <f t="shared" si="5"/>
        <v>47</v>
      </c>
    </row>
    <row r="53" spans="1:17" ht="19.05" customHeight="1">
      <c r="A53" s="7">
        <v>49</v>
      </c>
      <c r="B53" s="8" t="s">
        <v>52</v>
      </c>
      <c r="C53" s="22">
        <v>110</v>
      </c>
      <c r="D53" s="22">
        <v>36</v>
      </c>
      <c r="E53" s="22">
        <v>32</v>
      </c>
      <c r="F53" s="12">
        <v>34</v>
      </c>
      <c r="G53" s="22">
        <v>20</v>
      </c>
      <c r="H53" s="22">
        <v>10</v>
      </c>
      <c r="I53" s="22">
        <v>8</v>
      </c>
      <c r="J53" s="22">
        <v>0</v>
      </c>
      <c r="K53" s="22">
        <v>18</v>
      </c>
      <c r="L53" s="22">
        <v>0</v>
      </c>
      <c r="M53" s="22">
        <v>34</v>
      </c>
      <c r="N53" s="22">
        <v>0</v>
      </c>
      <c r="O53" s="22">
        <f t="shared" si="3"/>
        <v>302</v>
      </c>
      <c r="P53" s="23">
        <f t="shared" si="4"/>
        <v>20.133333333333333</v>
      </c>
      <c r="Q53" s="22">
        <f t="shared" si="5"/>
        <v>40</v>
      </c>
    </row>
    <row r="54" spans="1:17" ht="19.05" customHeight="1">
      <c r="A54" s="7">
        <v>50</v>
      </c>
      <c r="B54" s="8" t="s">
        <v>53</v>
      </c>
      <c r="C54" s="22">
        <v>120</v>
      </c>
      <c r="D54" s="22">
        <v>37</v>
      </c>
      <c r="E54" s="22">
        <v>34</v>
      </c>
      <c r="F54" s="12">
        <v>38</v>
      </c>
      <c r="G54" s="22">
        <v>145</v>
      </c>
      <c r="H54" s="22">
        <v>50</v>
      </c>
      <c r="I54" s="22">
        <v>35</v>
      </c>
      <c r="J54" s="22">
        <v>36</v>
      </c>
      <c r="K54" s="22">
        <v>24</v>
      </c>
      <c r="L54" s="22">
        <v>92</v>
      </c>
      <c r="M54" s="22">
        <v>36</v>
      </c>
      <c r="N54" s="22">
        <v>45</v>
      </c>
      <c r="O54" s="22">
        <f t="shared" si="3"/>
        <v>692</v>
      </c>
      <c r="P54" s="23">
        <f t="shared" si="4"/>
        <v>46.133333333333333</v>
      </c>
      <c r="Q54" s="22">
        <f t="shared" si="5"/>
        <v>2</v>
      </c>
    </row>
    <row r="55" spans="1:17" ht="22.5" customHeight="1">
      <c r="A55" s="10" t="s">
        <v>69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 t="s">
        <v>71</v>
      </c>
      <c r="O55" s="10"/>
      <c r="P55" s="10"/>
      <c r="Q55" s="10"/>
    </row>
    <row r="56" spans="1:17" ht="22.5" customHeight="1">
      <c r="A56" s="11" t="s">
        <v>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1"/>
    </row>
    <row r="57" spans="1:17" ht="22.5" customHeight="1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</row>
    <row r="58" spans="1:17" ht="22.5" customHeight="1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</sheetData>
  <mergeCells count="1">
    <mergeCell ref="H3:J3"/>
  </mergeCells>
  <printOptions horizontalCentered="1"/>
  <pageMargins left="0.25" right="0.25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88D4-604B-445D-83E9-DE20C73C6D50}">
  <dimension ref="A1:R58"/>
  <sheetViews>
    <sheetView zoomScale="115" zoomScaleNormal="115" workbookViewId="0">
      <selection activeCell="D2" sqref="D2"/>
    </sheetView>
  </sheetViews>
  <sheetFormatPr defaultRowHeight="14.25"/>
  <cols>
    <col min="1" max="1" width="4.59765625" customWidth="1"/>
    <col min="2" max="2" width="20.6640625" customWidth="1"/>
    <col min="3" max="3" width="7.33203125" customWidth="1"/>
    <col min="4" max="4" width="6.33203125" customWidth="1"/>
    <col min="5" max="6" width="6.796875" customWidth="1"/>
    <col min="7" max="7" width="8.265625" customWidth="1"/>
    <col min="8" max="8" width="6.796875" customWidth="1"/>
    <col min="9" max="9" width="6.6640625" customWidth="1"/>
    <col min="10" max="11" width="6.265625" customWidth="1"/>
    <col min="12" max="12" width="7.6640625" customWidth="1"/>
    <col min="13" max="13" width="7.19921875" customWidth="1"/>
    <col min="14" max="14" width="6.9296875" customWidth="1"/>
    <col min="15" max="15" width="8.796875" customWidth="1"/>
    <col min="16" max="16" width="9.59765625" customWidth="1"/>
    <col min="17" max="17" width="11.06640625" customWidth="1"/>
  </cols>
  <sheetData>
    <row r="1" spans="1:18" ht="20.25" customHeight="1">
      <c r="A1" s="116"/>
      <c r="B1" s="116"/>
      <c r="C1" s="116"/>
      <c r="D1" s="116"/>
      <c r="E1" s="116"/>
      <c r="F1" s="116"/>
      <c r="G1" s="117"/>
      <c r="H1" s="116"/>
      <c r="I1" s="117" t="s">
        <v>0</v>
      </c>
      <c r="J1" s="117"/>
      <c r="K1" s="117"/>
      <c r="L1" s="116"/>
      <c r="M1" s="116"/>
      <c r="N1" s="116"/>
      <c r="O1" s="116"/>
      <c r="P1" s="116"/>
      <c r="Q1" s="116"/>
    </row>
    <row r="2" spans="1:18">
      <c r="A2" s="118" t="s">
        <v>2</v>
      </c>
      <c r="B2" s="118"/>
      <c r="C2" s="118"/>
      <c r="D2" s="118"/>
      <c r="E2" s="116"/>
      <c r="F2" s="116"/>
      <c r="G2" s="117"/>
      <c r="H2" s="116"/>
      <c r="I2" s="117" t="s">
        <v>1</v>
      </c>
      <c r="J2" s="117"/>
      <c r="K2" s="118"/>
      <c r="L2" s="118"/>
      <c r="M2" s="116"/>
      <c r="N2" s="116"/>
      <c r="O2" s="116"/>
      <c r="P2" s="116"/>
      <c r="Q2" s="116"/>
    </row>
    <row r="3" spans="1:18" ht="20.65" customHeight="1">
      <c r="A3" s="118" t="s">
        <v>167</v>
      </c>
      <c r="B3" s="118"/>
      <c r="C3" s="118"/>
      <c r="D3" s="118"/>
      <c r="E3" s="116"/>
      <c r="F3" s="119"/>
      <c r="G3" s="119"/>
      <c r="H3" s="120" t="s">
        <v>166</v>
      </c>
      <c r="I3" s="120"/>
      <c r="J3" s="120"/>
      <c r="K3" s="119"/>
      <c r="L3" s="116"/>
      <c r="M3" s="116"/>
      <c r="N3" s="116"/>
      <c r="O3" s="116" t="s">
        <v>115</v>
      </c>
      <c r="P3" s="116"/>
      <c r="Q3" s="116"/>
      <c r="R3" s="1"/>
    </row>
    <row r="4" spans="1:18" ht="22.9" customHeight="1">
      <c r="A4" s="121" t="s">
        <v>4</v>
      </c>
      <c r="B4" s="122" t="s">
        <v>5</v>
      </c>
      <c r="C4" s="123" t="s">
        <v>54</v>
      </c>
      <c r="D4" s="124" t="s">
        <v>55</v>
      </c>
      <c r="E4" s="123" t="s">
        <v>56</v>
      </c>
      <c r="F4" s="123" t="s">
        <v>57</v>
      </c>
      <c r="G4" s="123" t="s">
        <v>58</v>
      </c>
      <c r="H4" s="124" t="s">
        <v>59</v>
      </c>
      <c r="I4" s="124" t="s">
        <v>60</v>
      </c>
      <c r="J4" s="124" t="s">
        <v>61</v>
      </c>
      <c r="K4" s="123" t="s">
        <v>62</v>
      </c>
      <c r="L4" s="123" t="s">
        <v>63</v>
      </c>
      <c r="M4" s="123" t="s">
        <v>64</v>
      </c>
      <c r="N4" s="124" t="s">
        <v>65</v>
      </c>
      <c r="O4" s="125" t="s">
        <v>66</v>
      </c>
      <c r="P4" s="125" t="s">
        <v>67</v>
      </c>
      <c r="Q4" s="125" t="s">
        <v>68</v>
      </c>
    </row>
    <row r="5" spans="1:18" ht="19.05" customHeight="1">
      <c r="A5" s="126">
        <v>1</v>
      </c>
      <c r="B5" s="142" t="s">
        <v>116</v>
      </c>
      <c r="C5" s="127">
        <v>100</v>
      </c>
      <c r="D5" s="125">
        <v>34</v>
      </c>
      <c r="E5" s="128">
        <v>19</v>
      </c>
      <c r="F5" s="115">
        <v>0</v>
      </c>
      <c r="G5" s="128">
        <v>5</v>
      </c>
      <c r="H5" s="125">
        <v>10</v>
      </c>
      <c r="I5" s="125">
        <v>5</v>
      </c>
      <c r="J5" s="125">
        <v>35</v>
      </c>
      <c r="K5" s="128">
        <v>24</v>
      </c>
      <c r="L5" s="128">
        <v>90</v>
      </c>
      <c r="M5" s="128">
        <v>0</v>
      </c>
      <c r="N5" s="125"/>
      <c r="O5" s="125">
        <f t="shared" ref="O5:O50" si="0">SUM(C5,D5,E5,F5,G5,H5,I5,J5,K5,L5,M5,N5)</f>
        <v>322</v>
      </c>
      <c r="P5" s="129">
        <f>SUM(O5/14)</f>
        <v>23</v>
      </c>
      <c r="Q5" s="125">
        <f>RANK(P5,$P$5:$P$50,0)</f>
        <v>29</v>
      </c>
    </row>
    <row r="6" spans="1:18" ht="19.05" customHeight="1">
      <c r="A6" s="126">
        <v>2</v>
      </c>
      <c r="B6" s="142" t="s">
        <v>117</v>
      </c>
      <c r="C6" s="127">
        <v>100</v>
      </c>
      <c r="D6" s="125">
        <v>34</v>
      </c>
      <c r="E6" s="128">
        <v>20</v>
      </c>
      <c r="F6" s="115">
        <v>31</v>
      </c>
      <c r="G6" s="128">
        <v>5</v>
      </c>
      <c r="H6" s="125">
        <v>10</v>
      </c>
      <c r="I6" s="125">
        <v>10</v>
      </c>
      <c r="J6" s="125">
        <v>35</v>
      </c>
      <c r="K6" s="128">
        <v>15</v>
      </c>
      <c r="L6" s="128">
        <v>95</v>
      </c>
      <c r="M6" s="128">
        <v>30</v>
      </c>
      <c r="N6" s="125"/>
      <c r="O6" s="125">
        <f t="shared" si="0"/>
        <v>385</v>
      </c>
      <c r="P6" s="129">
        <f t="shared" ref="P6:P50" si="1">SUM(O6/14)</f>
        <v>27.5</v>
      </c>
      <c r="Q6" s="125">
        <f t="shared" ref="Q6:Q50" si="2">RANK(P6,$P$5:$P$50,0)</f>
        <v>16</v>
      </c>
    </row>
    <row r="7" spans="1:18" ht="19.05" customHeight="1">
      <c r="A7" s="126">
        <v>3</v>
      </c>
      <c r="B7" s="142" t="s">
        <v>118</v>
      </c>
      <c r="C7" s="127">
        <v>130</v>
      </c>
      <c r="D7" s="125">
        <v>35</v>
      </c>
      <c r="E7" s="128">
        <v>20</v>
      </c>
      <c r="F7" s="115">
        <v>34</v>
      </c>
      <c r="G7" s="128">
        <v>5</v>
      </c>
      <c r="H7" s="125">
        <v>10</v>
      </c>
      <c r="I7" s="125">
        <v>11</v>
      </c>
      <c r="J7" s="125">
        <v>35</v>
      </c>
      <c r="K7" s="128">
        <v>24</v>
      </c>
      <c r="L7" s="128">
        <v>89</v>
      </c>
      <c r="M7" s="128">
        <v>37</v>
      </c>
      <c r="N7" s="125"/>
      <c r="O7" s="125">
        <f t="shared" si="0"/>
        <v>430</v>
      </c>
      <c r="P7" s="129">
        <f t="shared" si="1"/>
        <v>30.714285714285715</v>
      </c>
      <c r="Q7" s="125">
        <f t="shared" si="2"/>
        <v>8</v>
      </c>
    </row>
    <row r="8" spans="1:18" ht="19.05" customHeight="1">
      <c r="A8" s="126">
        <v>4</v>
      </c>
      <c r="B8" s="142" t="s">
        <v>119</v>
      </c>
      <c r="C8" s="127">
        <v>100</v>
      </c>
      <c r="D8" s="125">
        <v>32</v>
      </c>
      <c r="E8" s="128">
        <v>19</v>
      </c>
      <c r="F8" s="115">
        <v>33</v>
      </c>
      <c r="G8" s="128">
        <v>5</v>
      </c>
      <c r="H8" s="125">
        <v>10</v>
      </c>
      <c r="I8" s="125">
        <v>5</v>
      </c>
      <c r="J8" s="125">
        <v>35</v>
      </c>
      <c r="K8" s="128">
        <v>15</v>
      </c>
      <c r="L8" s="128">
        <v>95</v>
      </c>
      <c r="M8" s="128">
        <v>25</v>
      </c>
      <c r="N8" s="125"/>
      <c r="O8" s="125">
        <f t="shared" si="0"/>
        <v>374</v>
      </c>
      <c r="P8" s="129">
        <f t="shared" si="1"/>
        <v>26.714285714285715</v>
      </c>
      <c r="Q8" s="125">
        <f t="shared" si="2"/>
        <v>17</v>
      </c>
    </row>
    <row r="9" spans="1:18" ht="19.05" customHeight="1">
      <c r="A9" s="126">
        <v>5</v>
      </c>
      <c r="B9" s="142" t="s">
        <v>120</v>
      </c>
      <c r="C9" s="127">
        <v>100</v>
      </c>
      <c r="D9" s="125">
        <v>35</v>
      </c>
      <c r="E9" s="128">
        <v>0</v>
      </c>
      <c r="F9" s="115">
        <v>0</v>
      </c>
      <c r="G9" s="128">
        <v>5</v>
      </c>
      <c r="H9" s="125">
        <v>0</v>
      </c>
      <c r="I9" s="125">
        <v>0</v>
      </c>
      <c r="J9" s="125">
        <v>35</v>
      </c>
      <c r="K9" s="128">
        <v>15</v>
      </c>
      <c r="L9" s="128">
        <v>91</v>
      </c>
      <c r="M9" s="128">
        <v>0</v>
      </c>
      <c r="N9" s="125"/>
      <c r="O9" s="125">
        <f t="shared" si="0"/>
        <v>281</v>
      </c>
      <c r="P9" s="129">
        <f t="shared" si="1"/>
        <v>20.071428571428573</v>
      </c>
      <c r="Q9" s="125">
        <f t="shared" si="2"/>
        <v>35</v>
      </c>
    </row>
    <row r="10" spans="1:18" ht="19.05" customHeight="1">
      <c r="A10" s="126">
        <v>6</v>
      </c>
      <c r="B10" s="142" t="s">
        <v>121</v>
      </c>
      <c r="C10" s="127">
        <v>0</v>
      </c>
      <c r="D10" s="125">
        <v>0</v>
      </c>
      <c r="E10" s="128">
        <v>0</v>
      </c>
      <c r="F10" s="115">
        <v>0</v>
      </c>
      <c r="G10" s="128">
        <v>0</v>
      </c>
      <c r="H10" s="125">
        <v>0</v>
      </c>
      <c r="I10" s="125">
        <v>0</v>
      </c>
      <c r="J10" s="125">
        <v>0</v>
      </c>
      <c r="K10" s="128">
        <v>24</v>
      </c>
      <c r="L10" s="128">
        <v>70</v>
      </c>
      <c r="M10" s="128">
        <v>0</v>
      </c>
      <c r="N10" s="125"/>
      <c r="O10" s="125">
        <f t="shared" si="0"/>
        <v>94</v>
      </c>
      <c r="P10" s="129">
        <f t="shared" si="1"/>
        <v>6.7142857142857144</v>
      </c>
      <c r="Q10" s="125">
        <f t="shared" si="2"/>
        <v>42</v>
      </c>
    </row>
    <row r="11" spans="1:18" ht="19.05" customHeight="1">
      <c r="A11" s="126">
        <v>7</v>
      </c>
      <c r="B11" s="142" t="s">
        <v>122</v>
      </c>
      <c r="C11" s="127">
        <v>0</v>
      </c>
      <c r="D11" s="125">
        <v>0</v>
      </c>
      <c r="E11" s="128">
        <v>0</v>
      </c>
      <c r="F11" s="115">
        <v>0</v>
      </c>
      <c r="G11" s="128">
        <v>0</v>
      </c>
      <c r="H11" s="125">
        <v>0</v>
      </c>
      <c r="I11" s="125">
        <v>0</v>
      </c>
      <c r="J11" s="125">
        <v>0</v>
      </c>
      <c r="K11" s="128">
        <v>15</v>
      </c>
      <c r="L11" s="128">
        <v>78</v>
      </c>
      <c r="M11" s="128">
        <v>0</v>
      </c>
      <c r="N11" s="125"/>
      <c r="O11" s="125">
        <f t="shared" si="0"/>
        <v>93</v>
      </c>
      <c r="P11" s="129">
        <f t="shared" si="1"/>
        <v>6.6428571428571432</v>
      </c>
      <c r="Q11" s="125">
        <f t="shared" si="2"/>
        <v>43</v>
      </c>
    </row>
    <row r="12" spans="1:18" ht="19.05" customHeight="1">
      <c r="A12" s="126">
        <v>8</v>
      </c>
      <c r="B12" s="142" t="s">
        <v>123</v>
      </c>
      <c r="C12" s="127">
        <v>120</v>
      </c>
      <c r="D12" s="125">
        <v>34</v>
      </c>
      <c r="E12" s="128">
        <v>22</v>
      </c>
      <c r="F12" s="115">
        <v>33</v>
      </c>
      <c r="G12" s="128">
        <v>140</v>
      </c>
      <c r="H12" s="125">
        <v>10</v>
      </c>
      <c r="I12" s="125">
        <v>10</v>
      </c>
      <c r="J12" s="125">
        <v>36</v>
      </c>
      <c r="K12" s="128">
        <v>15</v>
      </c>
      <c r="L12" s="128">
        <v>50</v>
      </c>
      <c r="M12" s="128">
        <v>36</v>
      </c>
      <c r="N12" s="125"/>
      <c r="O12" s="125">
        <f t="shared" si="0"/>
        <v>506</v>
      </c>
      <c r="P12" s="129">
        <f t="shared" si="1"/>
        <v>36.142857142857146</v>
      </c>
      <c r="Q12" s="125">
        <f t="shared" si="2"/>
        <v>4</v>
      </c>
    </row>
    <row r="13" spans="1:18" ht="19.05" customHeight="1">
      <c r="A13" s="126">
        <v>9</v>
      </c>
      <c r="B13" s="142" t="s">
        <v>124</v>
      </c>
      <c r="C13" s="127">
        <v>100</v>
      </c>
      <c r="D13" s="125">
        <v>34</v>
      </c>
      <c r="E13" s="128">
        <v>20</v>
      </c>
      <c r="F13" s="115">
        <v>30</v>
      </c>
      <c r="G13" s="128">
        <v>100</v>
      </c>
      <c r="H13" s="125">
        <v>0</v>
      </c>
      <c r="I13" s="125">
        <v>10</v>
      </c>
      <c r="J13" s="125">
        <v>36</v>
      </c>
      <c r="K13" s="128">
        <v>15</v>
      </c>
      <c r="L13" s="128">
        <v>50</v>
      </c>
      <c r="M13" s="128">
        <v>0</v>
      </c>
      <c r="N13" s="125"/>
      <c r="O13" s="125">
        <f t="shared" si="0"/>
        <v>395</v>
      </c>
      <c r="P13" s="129">
        <f t="shared" si="1"/>
        <v>28.214285714285715</v>
      </c>
      <c r="Q13" s="125">
        <f t="shared" si="2"/>
        <v>13</v>
      </c>
    </row>
    <row r="14" spans="1:18" ht="19.05" customHeight="1">
      <c r="A14" s="126">
        <v>10</v>
      </c>
      <c r="B14" s="142" t="s">
        <v>125</v>
      </c>
      <c r="C14" s="127">
        <v>120</v>
      </c>
      <c r="D14" s="125">
        <v>34</v>
      </c>
      <c r="E14" s="128">
        <v>20</v>
      </c>
      <c r="F14" s="115">
        <v>32</v>
      </c>
      <c r="G14" s="128">
        <v>5</v>
      </c>
      <c r="H14" s="125">
        <v>10</v>
      </c>
      <c r="I14" s="125">
        <v>10</v>
      </c>
      <c r="J14" s="125">
        <v>35</v>
      </c>
      <c r="K14" s="128">
        <v>24</v>
      </c>
      <c r="L14" s="128">
        <v>98</v>
      </c>
      <c r="M14" s="128">
        <v>37</v>
      </c>
      <c r="N14" s="125"/>
      <c r="O14" s="125">
        <f t="shared" si="0"/>
        <v>425</v>
      </c>
      <c r="P14" s="129">
        <f t="shared" si="1"/>
        <v>30.357142857142858</v>
      </c>
      <c r="Q14" s="125">
        <f t="shared" si="2"/>
        <v>9</v>
      </c>
    </row>
    <row r="15" spans="1:18" ht="19.05" customHeight="1">
      <c r="A15" s="126">
        <v>11</v>
      </c>
      <c r="B15" s="142" t="s">
        <v>126</v>
      </c>
      <c r="C15" s="127">
        <v>0</v>
      </c>
      <c r="D15" s="125">
        <v>30</v>
      </c>
      <c r="E15" s="128">
        <v>19</v>
      </c>
      <c r="F15" s="115">
        <v>0</v>
      </c>
      <c r="G15" s="128">
        <v>120</v>
      </c>
      <c r="H15" s="125">
        <v>0</v>
      </c>
      <c r="I15" s="125">
        <v>12</v>
      </c>
      <c r="J15" s="125">
        <v>35</v>
      </c>
      <c r="K15" s="128">
        <v>15</v>
      </c>
      <c r="L15" s="128">
        <v>75</v>
      </c>
      <c r="M15" s="128">
        <v>37</v>
      </c>
      <c r="N15" s="125"/>
      <c r="O15" s="125">
        <f t="shared" si="0"/>
        <v>343</v>
      </c>
      <c r="P15" s="129">
        <f t="shared" si="1"/>
        <v>24.5</v>
      </c>
      <c r="Q15" s="125">
        <f t="shared" si="2"/>
        <v>25</v>
      </c>
    </row>
    <row r="16" spans="1:18" ht="19.05" customHeight="1">
      <c r="A16" s="126">
        <v>12</v>
      </c>
      <c r="B16" s="142" t="s">
        <v>127</v>
      </c>
      <c r="C16" s="127">
        <v>120</v>
      </c>
      <c r="D16" s="125">
        <v>34</v>
      </c>
      <c r="E16" s="128">
        <v>21</v>
      </c>
      <c r="F16" s="115">
        <v>36</v>
      </c>
      <c r="G16" s="128">
        <v>5</v>
      </c>
      <c r="H16" s="125">
        <v>15</v>
      </c>
      <c r="I16" s="125">
        <v>9</v>
      </c>
      <c r="J16" s="125">
        <v>36</v>
      </c>
      <c r="K16" s="128">
        <v>25</v>
      </c>
      <c r="L16" s="128">
        <v>0</v>
      </c>
      <c r="M16" s="128">
        <v>37</v>
      </c>
      <c r="N16" s="125"/>
      <c r="O16" s="125">
        <f t="shared" si="0"/>
        <v>338</v>
      </c>
      <c r="P16" s="129">
        <f t="shared" si="1"/>
        <v>24.142857142857142</v>
      </c>
      <c r="Q16" s="125">
        <f t="shared" si="2"/>
        <v>27</v>
      </c>
    </row>
    <row r="17" spans="1:18" ht="19.05" customHeight="1">
      <c r="A17" s="126">
        <v>13</v>
      </c>
      <c r="B17" s="142" t="s">
        <v>128</v>
      </c>
      <c r="C17" s="127">
        <v>110</v>
      </c>
      <c r="D17" s="125">
        <v>34</v>
      </c>
      <c r="E17" s="128">
        <v>21</v>
      </c>
      <c r="F17" s="115">
        <v>36</v>
      </c>
      <c r="G17" s="128">
        <v>5</v>
      </c>
      <c r="H17" s="125">
        <v>10</v>
      </c>
      <c r="I17" s="125">
        <v>5</v>
      </c>
      <c r="J17" s="125">
        <v>0</v>
      </c>
      <c r="K17" s="128">
        <v>15</v>
      </c>
      <c r="L17" s="128">
        <v>89</v>
      </c>
      <c r="M17" s="128">
        <v>36</v>
      </c>
      <c r="N17" s="125"/>
      <c r="O17" s="125">
        <f t="shared" si="0"/>
        <v>361</v>
      </c>
      <c r="P17" s="129">
        <f t="shared" si="1"/>
        <v>25.785714285714285</v>
      </c>
      <c r="Q17" s="125">
        <f t="shared" si="2"/>
        <v>21</v>
      </c>
      <c r="R17" s="39"/>
    </row>
    <row r="18" spans="1:18" ht="19.05" customHeight="1">
      <c r="A18" s="126">
        <v>14</v>
      </c>
      <c r="B18" s="142" t="s">
        <v>129</v>
      </c>
      <c r="C18" s="127">
        <v>50</v>
      </c>
      <c r="D18" s="125">
        <v>0</v>
      </c>
      <c r="E18" s="128">
        <v>19</v>
      </c>
      <c r="F18" s="115">
        <v>0</v>
      </c>
      <c r="G18" s="128">
        <v>0</v>
      </c>
      <c r="H18" s="125">
        <v>0</v>
      </c>
      <c r="I18" s="125">
        <v>0</v>
      </c>
      <c r="J18" s="125">
        <v>0</v>
      </c>
      <c r="K18" s="128">
        <v>15</v>
      </c>
      <c r="L18" s="128">
        <v>0</v>
      </c>
      <c r="M18" s="128">
        <v>20</v>
      </c>
      <c r="N18" s="125"/>
      <c r="O18" s="125">
        <f t="shared" si="0"/>
        <v>104</v>
      </c>
      <c r="P18" s="129">
        <f t="shared" si="1"/>
        <v>7.4285714285714288</v>
      </c>
      <c r="Q18" s="125">
        <f t="shared" si="2"/>
        <v>41</v>
      </c>
    </row>
    <row r="19" spans="1:18" ht="19.05" customHeight="1">
      <c r="A19" s="126">
        <v>15</v>
      </c>
      <c r="B19" s="142" t="s">
        <v>130</v>
      </c>
      <c r="C19" s="127">
        <v>100</v>
      </c>
      <c r="D19" s="125">
        <v>35</v>
      </c>
      <c r="E19" s="128">
        <v>0</v>
      </c>
      <c r="F19" s="115">
        <v>33</v>
      </c>
      <c r="G19" s="128">
        <v>5</v>
      </c>
      <c r="H19" s="125">
        <v>15</v>
      </c>
      <c r="I19" s="125">
        <v>5</v>
      </c>
      <c r="J19" s="125">
        <v>32</v>
      </c>
      <c r="K19" s="128">
        <v>15</v>
      </c>
      <c r="L19" s="128">
        <v>75</v>
      </c>
      <c r="M19" s="128">
        <v>30</v>
      </c>
      <c r="N19" s="125"/>
      <c r="O19" s="125">
        <f t="shared" si="0"/>
        <v>345</v>
      </c>
      <c r="P19" s="129">
        <f t="shared" si="1"/>
        <v>24.642857142857142</v>
      </c>
      <c r="Q19" s="125">
        <f t="shared" si="2"/>
        <v>24</v>
      </c>
      <c r="R19" s="39"/>
    </row>
    <row r="20" spans="1:18" ht="19.05" customHeight="1">
      <c r="A20" s="126">
        <v>16</v>
      </c>
      <c r="B20" s="142" t="s">
        <v>131</v>
      </c>
      <c r="C20" s="127">
        <v>100</v>
      </c>
      <c r="D20" s="125">
        <v>33</v>
      </c>
      <c r="E20" s="128">
        <v>22</v>
      </c>
      <c r="F20" s="115">
        <v>32</v>
      </c>
      <c r="G20" s="128">
        <v>5</v>
      </c>
      <c r="H20" s="125">
        <v>10</v>
      </c>
      <c r="I20" s="125">
        <v>15</v>
      </c>
      <c r="J20" s="125">
        <v>32</v>
      </c>
      <c r="K20" s="128">
        <v>15</v>
      </c>
      <c r="L20" s="128">
        <v>80</v>
      </c>
      <c r="M20" s="128">
        <v>30</v>
      </c>
      <c r="N20" s="125"/>
      <c r="O20" s="125">
        <f t="shared" si="0"/>
        <v>374</v>
      </c>
      <c r="P20" s="129">
        <f t="shared" si="1"/>
        <v>26.714285714285715</v>
      </c>
      <c r="Q20" s="125">
        <f t="shared" si="2"/>
        <v>17</v>
      </c>
    </row>
    <row r="21" spans="1:18" ht="19.05" customHeight="1">
      <c r="A21" s="126">
        <v>17</v>
      </c>
      <c r="B21" s="142" t="s">
        <v>132</v>
      </c>
      <c r="C21" s="127">
        <v>130</v>
      </c>
      <c r="D21" s="125">
        <v>34</v>
      </c>
      <c r="E21" s="128">
        <v>20</v>
      </c>
      <c r="F21" s="115">
        <v>34</v>
      </c>
      <c r="G21" s="128">
        <v>10</v>
      </c>
      <c r="H21" s="125">
        <v>15</v>
      </c>
      <c r="I21" s="125">
        <v>11</v>
      </c>
      <c r="J21" s="125">
        <v>35</v>
      </c>
      <c r="K21" s="128">
        <v>24</v>
      </c>
      <c r="L21" s="128">
        <v>85</v>
      </c>
      <c r="M21" s="128">
        <v>37</v>
      </c>
      <c r="N21" s="125"/>
      <c r="O21" s="125">
        <f t="shared" si="0"/>
        <v>435</v>
      </c>
      <c r="P21" s="129">
        <f t="shared" si="1"/>
        <v>31.071428571428573</v>
      </c>
      <c r="Q21" s="125">
        <f t="shared" si="2"/>
        <v>7</v>
      </c>
    </row>
    <row r="22" spans="1:18" ht="19.05" customHeight="1">
      <c r="A22" s="126">
        <v>18</v>
      </c>
      <c r="B22" s="142" t="s">
        <v>133</v>
      </c>
      <c r="C22" s="127">
        <v>120</v>
      </c>
      <c r="D22" s="125">
        <v>34</v>
      </c>
      <c r="E22" s="128">
        <v>20</v>
      </c>
      <c r="F22" s="115">
        <v>33</v>
      </c>
      <c r="G22" s="128">
        <v>140</v>
      </c>
      <c r="H22" s="125">
        <v>50</v>
      </c>
      <c r="I22" s="125">
        <v>25</v>
      </c>
      <c r="J22" s="125">
        <v>35</v>
      </c>
      <c r="K22" s="128">
        <v>15</v>
      </c>
      <c r="L22" s="128">
        <v>75</v>
      </c>
      <c r="M22" s="128">
        <v>36</v>
      </c>
      <c r="N22" s="125"/>
      <c r="O22" s="125">
        <f t="shared" si="0"/>
        <v>583</v>
      </c>
      <c r="P22" s="129">
        <f t="shared" si="1"/>
        <v>41.642857142857146</v>
      </c>
      <c r="Q22" s="125">
        <f t="shared" si="2"/>
        <v>1</v>
      </c>
    </row>
    <row r="23" spans="1:18" ht="19.05" customHeight="1">
      <c r="A23" s="126">
        <v>19</v>
      </c>
      <c r="B23" s="142" t="s">
        <v>134</v>
      </c>
      <c r="C23" s="127">
        <v>100</v>
      </c>
      <c r="D23" s="125">
        <v>33</v>
      </c>
      <c r="E23" s="128">
        <v>20</v>
      </c>
      <c r="F23" s="115">
        <v>31</v>
      </c>
      <c r="G23" s="128">
        <v>140</v>
      </c>
      <c r="H23" s="125">
        <v>10</v>
      </c>
      <c r="I23" s="125">
        <v>5</v>
      </c>
      <c r="J23" s="125">
        <v>32</v>
      </c>
      <c r="K23" s="128">
        <v>15</v>
      </c>
      <c r="L23" s="128">
        <v>80</v>
      </c>
      <c r="M23" s="128">
        <v>36</v>
      </c>
      <c r="N23" s="125"/>
      <c r="O23" s="125">
        <f t="shared" si="0"/>
        <v>502</v>
      </c>
      <c r="P23" s="129">
        <f t="shared" si="1"/>
        <v>35.857142857142854</v>
      </c>
      <c r="Q23" s="125">
        <f t="shared" si="2"/>
        <v>5</v>
      </c>
      <c r="R23" s="39"/>
    </row>
    <row r="24" spans="1:18" ht="19.05" customHeight="1">
      <c r="A24" s="126">
        <v>20</v>
      </c>
      <c r="B24" s="142" t="s">
        <v>135</v>
      </c>
      <c r="C24" s="127">
        <v>80</v>
      </c>
      <c r="D24" s="125">
        <v>34</v>
      </c>
      <c r="E24" s="128">
        <v>21</v>
      </c>
      <c r="F24" s="115">
        <v>0</v>
      </c>
      <c r="G24" s="128">
        <v>5</v>
      </c>
      <c r="H24" s="125">
        <v>0</v>
      </c>
      <c r="I24" s="125">
        <v>4</v>
      </c>
      <c r="J24" s="125">
        <v>32</v>
      </c>
      <c r="K24" s="128">
        <v>15</v>
      </c>
      <c r="L24" s="128">
        <v>69</v>
      </c>
      <c r="M24" s="128">
        <v>30</v>
      </c>
      <c r="N24" s="125"/>
      <c r="O24" s="125">
        <f t="shared" si="0"/>
        <v>290</v>
      </c>
      <c r="P24" s="129">
        <f t="shared" si="1"/>
        <v>20.714285714285715</v>
      </c>
      <c r="Q24" s="125">
        <f t="shared" si="2"/>
        <v>34</v>
      </c>
    </row>
    <row r="25" spans="1:18" ht="19.05" customHeight="1">
      <c r="A25" s="126">
        <v>21</v>
      </c>
      <c r="B25" s="142" t="s">
        <v>136</v>
      </c>
      <c r="C25" s="127">
        <v>120</v>
      </c>
      <c r="D25" s="125">
        <v>34</v>
      </c>
      <c r="E25" s="128">
        <v>19</v>
      </c>
      <c r="F25" s="115">
        <v>33</v>
      </c>
      <c r="G25" s="128">
        <v>5</v>
      </c>
      <c r="H25" s="125">
        <v>10</v>
      </c>
      <c r="I25" s="125">
        <v>10</v>
      </c>
      <c r="J25" s="125">
        <v>35</v>
      </c>
      <c r="K25" s="128">
        <v>15</v>
      </c>
      <c r="L25" s="128">
        <v>81</v>
      </c>
      <c r="M25" s="128">
        <v>37</v>
      </c>
      <c r="N25" s="125"/>
      <c r="O25" s="125">
        <f t="shared" si="0"/>
        <v>399</v>
      </c>
      <c r="P25" s="129">
        <f t="shared" si="1"/>
        <v>28.5</v>
      </c>
      <c r="Q25" s="125">
        <f t="shared" si="2"/>
        <v>11</v>
      </c>
    </row>
    <row r="26" spans="1:18" ht="19.05" customHeight="1">
      <c r="A26" s="126">
        <v>22</v>
      </c>
      <c r="B26" s="142" t="s">
        <v>137</v>
      </c>
      <c r="C26" s="127">
        <v>0</v>
      </c>
      <c r="D26" s="125">
        <v>0</v>
      </c>
      <c r="E26" s="128">
        <v>0</v>
      </c>
      <c r="F26" s="115">
        <v>0</v>
      </c>
      <c r="G26" s="128">
        <v>0</v>
      </c>
      <c r="H26" s="125">
        <v>0</v>
      </c>
      <c r="I26" s="125">
        <v>0</v>
      </c>
      <c r="J26" s="125">
        <v>0</v>
      </c>
      <c r="K26" s="128">
        <v>15</v>
      </c>
      <c r="L26" s="128">
        <v>0</v>
      </c>
      <c r="M26" s="128">
        <v>0</v>
      </c>
      <c r="N26" s="125"/>
      <c r="O26" s="125">
        <f t="shared" si="0"/>
        <v>15</v>
      </c>
      <c r="P26" s="129">
        <f t="shared" si="1"/>
        <v>1.0714285714285714</v>
      </c>
      <c r="Q26" s="125">
        <f t="shared" si="2"/>
        <v>44</v>
      </c>
      <c r="R26" s="39"/>
    </row>
    <row r="27" spans="1:18" ht="19.05" customHeight="1">
      <c r="A27" s="126">
        <v>23</v>
      </c>
      <c r="B27" s="142" t="s">
        <v>138</v>
      </c>
      <c r="C27" s="127">
        <v>0</v>
      </c>
      <c r="D27" s="125">
        <v>0</v>
      </c>
      <c r="E27" s="128">
        <v>0</v>
      </c>
      <c r="F27" s="115">
        <v>0</v>
      </c>
      <c r="G27" s="128">
        <v>0</v>
      </c>
      <c r="H27" s="125">
        <v>0</v>
      </c>
      <c r="I27" s="125">
        <v>0</v>
      </c>
      <c r="J27" s="125">
        <v>0</v>
      </c>
      <c r="K27" s="128">
        <v>15</v>
      </c>
      <c r="L27" s="128">
        <v>0</v>
      </c>
      <c r="M27" s="128">
        <v>0</v>
      </c>
      <c r="N27" s="125"/>
      <c r="O27" s="125">
        <f t="shared" si="0"/>
        <v>15</v>
      </c>
      <c r="P27" s="129">
        <f t="shared" si="1"/>
        <v>1.0714285714285714</v>
      </c>
      <c r="Q27" s="125">
        <f t="shared" si="2"/>
        <v>44</v>
      </c>
    </row>
    <row r="28" spans="1:18" ht="19.05" customHeight="1">
      <c r="A28" s="126">
        <v>24</v>
      </c>
      <c r="B28" s="142" t="s">
        <v>139</v>
      </c>
      <c r="C28" s="127">
        <v>120</v>
      </c>
      <c r="D28" s="125">
        <v>34</v>
      </c>
      <c r="E28" s="128">
        <v>21</v>
      </c>
      <c r="F28" s="115">
        <v>32</v>
      </c>
      <c r="G28" s="128">
        <v>10</v>
      </c>
      <c r="H28" s="125">
        <v>10</v>
      </c>
      <c r="I28" s="125">
        <v>10</v>
      </c>
      <c r="J28" s="125">
        <v>35</v>
      </c>
      <c r="K28" s="128">
        <v>24</v>
      </c>
      <c r="L28" s="128">
        <v>83</v>
      </c>
      <c r="M28" s="128">
        <v>37</v>
      </c>
      <c r="N28" s="125"/>
      <c r="O28" s="125">
        <f t="shared" si="0"/>
        <v>416</v>
      </c>
      <c r="P28" s="129">
        <f t="shared" si="1"/>
        <v>29.714285714285715</v>
      </c>
      <c r="Q28" s="125">
        <f t="shared" si="2"/>
        <v>10</v>
      </c>
    </row>
    <row r="29" spans="1:18" ht="19.05" customHeight="1">
      <c r="A29" s="126">
        <v>25</v>
      </c>
      <c r="B29" s="142" t="s">
        <v>140</v>
      </c>
      <c r="C29" s="127">
        <v>100</v>
      </c>
      <c r="D29" s="125">
        <v>34</v>
      </c>
      <c r="E29" s="128">
        <v>20</v>
      </c>
      <c r="F29" s="115">
        <v>32</v>
      </c>
      <c r="G29" s="128">
        <v>5</v>
      </c>
      <c r="H29" s="125">
        <v>10</v>
      </c>
      <c r="I29" s="125">
        <v>10</v>
      </c>
      <c r="J29" s="125">
        <v>35</v>
      </c>
      <c r="K29" s="128">
        <v>24</v>
      </c>
      <c r="L29" s="128">
        <v>96</v>
      </c>
      <c r="M29" s="128">
        <v>30</v>
      </c>
      <c r="N29" s="125"/>
      <c r="O29" s="125">
        <f t="shared" si="0"/>
        <v>396</v>
      </c>
      <c r="P29" s="129">
        <f t="shared" si="1"/>
        <v>28.285714285714285</v>
      </c>
      <c r="Q29" s="125">
        <f t="shared" si="2"/>
        <v>12</v>
      </c>
      <c r="R29" s="39"/>
    </row>
    <row r="30" spans="1:18" ht="19.05" customHeight="1">
      <c r="A30" s="126">
        <v>26</v>
      </c>
      <c r="B30" s="142" t="s">
        <v>141</v>
      </c>
      <c r="C30" s="127">
        <v>100</v>
      </c>
      <c r="D30" s="125">
        <v>32</v>
      </c>
      <c r="E30" s="128">
        <v>18</v>
      </c>
      <c r="F30" s="115">
        <v>32</v>
      </c>
      <c r="G30" s="128">
        <v>145</v>
      </c>
      <c r="H30" s="125">
        <v>50</v>
      </c>
      <c r="I30" s="125">
        <v>25</v>
      </c>
      <c r="J30" s="125">
        <v>36</v>
      </c>
      <c r="K30" s="128">
        <v>15</v>
      </c>
      <c r="L30" s="128">
        <v>79</v>
      </c>
      <c r="M30" s="128">
        <v>37</v>
      </c>
      <c r="N30" s="125"/>
      <c r="O30" s="125">
        <f t="shared" si="0"/>
        <v>569</v>
      </c>
      <c r="P30" s="129">
        <f t="shared" si="1"/>
        <v>40.642857142857146</v>
      </c>
      <c r="Q30" s="125">
        <f t="shared" si="2"/>
        <v>2</v>
      </c>
    </row>
    <row r="31" spans="1:18" ht="19.05" customHeight="1">
      <c r="A31" s="126">
        <v>27</v>
      </c>
      <c r="B31" s="142" t="s">
        <v>142</v>
      </c>
      <c r="C31" s="127">
        <v>110</v>
      </c>
      <c r="D31" s="125">
        <v>33</v>
      </c>
      <c r="E31" s="128">
        <v>0</v>
      </c>
      <c r="F31" s="115">
        <v>0</v>
      </c>
      <c r="G31" s="128">
        <v>100</v>
      </c>
      <c r="H31" s="125">
        <v>0</v>
      </c>
      <c r="I31" s="125">
        <v>4</v>
      </c>
      <c r="J31" s="125">
        <v>0</v>
      </c>
      <c r="K31" s="128">
        <v>15</v>
      </c>
      <c r="L31" s="128">
        <v>0</v>
      </c>
      <c r="M31" s="128">
        <v>0</v>
      </c>
      <c r="N31" s="125"/>
      <c r="O31" s="125">
        <f t="shared" si="0"/>
        <v>262</v>
      </c>
      <c r="P31" s="129">
        <f t="shared" si="1"/>
        <v>18.714285714285715</v>
      </c>
      <c r="Q31" s="125">
        <f t="shared" si="2"/>
        <v>36</v>
      </c>
      <c r="R31" s="39"/>
    </row>
    <row r="32" spans="1:18" ht="19.05" customHeight="1">
      <c r="A32" s="126">
        <v>28</v>
      </c>
      <c r="B32" s="142" t="s">
        <v>143</v>
      </c>
      <c r="C32" s="127">
        <v>0</v>
      </c>
      <c r="D32" s="125">
        <v>0</v>
      </c>
      <c r="E32" s="128">
        <v>0</v>
      </c>
      <c r="F32" s="115">
        <v>0</v>
      </c>
      <c r="G32" s="128">
        <v>0</v>
      </c>
      <c r="H32" s="125">
        <v>0</v>
      </c>
      <c r="I32" s="125">
        <v>5</v>
      </c>
      <c r="J32" s="125">
        <v>0</v>
      </c>
      <c r="K32" s="128">
        <v>15</v>
      </c>
      <c r="L32" s="128">
        <v>74</v>
      </c>
      <c r="M32" s="128">
        <v>25</v>
      </c>
      <c r="N32" s="125"/>
      <c r="O32" s="125">
        <f t="shared" si="0"/>
        <v>119</v>
      </c>
      <c r="P32" s="129">
        <f t="shared" si="1"/>
        <v>8.5</v>
      </c>
      <c r="Q32" s="125">
        <f t="shared" si="2"/>
        <v>40</v>
      </c>
    </row>
    <row r="33" spans="1:18" ht="19.05" customHeight="1">
      <c r="A33" s="126">
        <v>29</v>
      </c>
      <c r="B33" s="142" t="s">
        <v>144</v>
      </c>
      <c r="C33" s="127">
        <v>100</v>
      </c>
      <c r="D33" s="125">
        <v>31</v>
      </c>
      <c r="E33" s="128">
        <v>0</v>
      </c>
      <c r="F33" s="115">
        <v>29</v>
      </c>
      <c r="G33" s="128">
        <v>0</v>
      </c>
      <c r="H33" s="125">
        <v>0</v>
      </c>
      <c r="I33" s="125">
        <v>5</v>
      </c>
      <c r="J33" s="125">
        <v>0</v>
      </c>
      <c r="K33" s="128">
        <v>15</v>
      </c>
      <c r="L33" s="128">
        <v>0</v>
      </c>
      <c r="M33" s="128">
        <v>25</v>
      </c>
      <c r="N33" s="125"/>
      <c r="O33" s="125">
        <f t="shared" si="0"/>
        <v>205</v>
      </c>
      <c r="P33" s="129">
        <f t="shared" si="1"/>
        <v>14.642857142857142</v>
      </c>
      <c r="Q33" s="125">
        <f t="shared" si="2"/>
        <v>37</v>
      </c>
    </row>
    <row r="34" spans="1:18" ht="19.05" customHeight="1">
      <c r="A34" s="126">
        <v>30</v>
      </c>
      <c r="B34" s="142" t="s">
        <v>145</v>
      </c>
      <c r="C34" s="127">
        <v>100</v>
      </c>
      <c r="D34" s="125">
        <v>35</v>
      </c>
      <c r="E34" s="128">
        <v>19</v>
      </c>
      <c r="F34" s="115">
        <v>33</v>
      </c>
      <c r="G34" s="128">
        <v>5</v>
      </c>
      <c r="H34" s="125">
        <v>10</v>
      </c>
      <c r="I34" s="125">
        <v>25</v>
      </c>
      <c r="J34" s="125">
        <v>35</v>
      </c>
      <c r="K34" s="128">
        <v>15</v>
      </c>
      <c r="L34" s="128">
        <v>0</v>
      </c>
      <c r="M34" s="128">
        <v>37</v>
      </c>
      <c r="N34" s="125"/>
      <c r="O34" s="125">
        <f t="shared" si="0"/>
        <v>314</v>
      </c>
      <c r="P34" s="129">
        <f t="shared" si="1"/>
        <v>22.428571428571427</v>
      </c>
      <c r="Q34" s="125">
        <f t="shared" si="2"/>
        <v>31</v>
      </c>
    </row>
    <row r="35" spans="1:18" ht="19.05" customHeight="1">
      <c r="A35" s="126">
        <v>31</v>
      </c>
      <c r="B35" s="142" t="s">
        <v>146</v>
      </c>
      <c r="C35" s="127">
        <v>120</v>
      </c>
      <c r="D35" s="125">
        <v>34</v>
      </c>
      <c r="E35" s="128">
        <v>19</v>
      </c>
      <c r="F35" s="115">
        <v>32</v>
      </c>
      <c r="G35" s="128">
        <v>5</v>
      </c>
      <c r="H35" s="125">
        <v>10</v>
      </c>
      <c r="I35" s="125">
        <v>7</v>
      </c>
      <c r="J35" s="125">
        <v>35</v>
      </c>
      <c r="K35" s="128">
        <v>15</v>
      </c>
      <c r="L35" s="128">
        <v>0</v>
      </c>
      <c r="M35" s="128">
        <v>37</v>
      </c>
      <c r="N35" s="125"/>
      <c r="O35" s="125">
        <f t="shared" si="0"/>
        <v>314</v>
      </c>
      <c r="P35" s="129">
        <f t="shared" si="1"/>
        <v>22.428571428571427</v>
      </c>
      <c r="Q35" s="125">
        <f t="shared" si="2"/>
        <v>31</v>
      </c>
    </row>
    <row r="36" spans="1:18" ht="19.05" customHeight="1">
      <c r="A36" s="126">
        <v>32</v>
      </c>
      <c r="B36" s="142" t="s">
        <v>147</v>
      </c>
      <c r="C36" s="127">
        <v>100</v>
      </c>
      <c r="D36" s="125">
        <v>33</v>
      </c>
      <c r="E36" s="128">
        <v>21</v>
      </c>
      <c r="F36" s="115">
        <v>33</v>
      </c>
      <c r="G36" s="128">
        <v>5</v>
      </c>
      <c r="H36" s="125">
        <v>10</v>
      </c>
      <c r="I36" s="125">
        <v>7</v>
      </c>
      <c r="J36" s="125">
        <v>36</v>
      </c>
      <c r="K36" s="128">
        <v>15</v>
      </c>
      <c r="L36" s="128">
        <v>50</v>
      </c>
      <c r="M36" s="128">
        <v>30</v>
      </c>
      <c r="N36" s="125"/>
      <c r="O36" s="125">
        <f t="shared" si="0"/>
        <v>340</v>
      </c>
      <c r="P36" s="129">
        <f t="shared" si="1"/>
        <v>24.285714285714285</v>
      </c>
      <c r="Q36" s="125">
        <f t="shared" si="2"/>
        <v>26</v>
      </c>
    </row>
    <row r="37" spans="1:18" ht="19.05" customHeight="1">
      <c r="A37" s="126">
        <v>33</v>
      </c>
      <c r="B37" s="142" t="s">
        <v>148</v>
      </c>
      <c r="C37" s="127">
        <v>0</v>
      </c>
      <c r="D37" s="125">
        <v>0</v>
      </c>
      <c r="E37" s="128">
        <v>0</v>
      </c>
      <c r="F37" s="115">
        <v>0</v>
      </c>
      <c r="G37" s="128">
        <v>0</v>
      </c>
      <c r="H37" s="125">
        <v>0</v>
      </c>
      <c r="I37" s="125">
        <v>0</v>
      </c>
      <c r="J37" s="125">
        <v>0</v>
      </c>
      <c r="K37" s="128">
        <v>15</v>
      </c>
      <c r="L37" s="128">
        <v>0</v>
      </c>
      <c r="M37" s="128">
        <v>0</v>
      </c>
      <c r="N37" s="125"/>
      <c r="O37" s="125">
        <f t="shared" si="0"/>
        <v>15</v>
      </c>
      <c r="P37" s="129">
        <f t="shared" si="1"/>
        <v>1.0714285714285714</v>
      </c>
      <c r="Q37" s="125">
        <f t="shared" si="2"/>
        <v>44</v>
      </c>
    </row>
    <row r="38" spans="1:18" ht="19.05" customHeight="1">
      <c r="A38" s="126">
        <v>34</v>
      </c>
      <c r="B38" s="142" t="s">
        <v>149</v>
      </c>
      <c r="C38" s="127">
        <v>0</v>
      </c>
      <c r="D38" s="125">
        <v>33</v>
      </c>
      <c r="E38" s="128">
        <v>0</v>
      </c>
      <c r="F38" s="115">
        <v>32</v>
      </c>
      <c r="G38" s="128">
        <v>5</v>
      </c>
      <c r="H38" s="125">
        <v>0</v>
      </c>
      <c r="I38" s="125">
        <v>5</v>
      </c>
      <c r="J38" s="125">
        <v>0</v>
      </c>
      <c r="K38" s="128">
        <v>15</v>
      </c>
      <c r="L38" s="128">
        <v>89</v>
      </c>
      <c r="M38" s="128">
        <v>0</v>
      </c>
      <c r="N38" s="125"/>
      <c r="O38" s="125">
        <f t="shared" si="0"/>
        <v>179</v>
      </c>
      <c r="P38" s="129">
        <f t="shared" si="1"/>
        <v>12.785714285714286</v>
      </c>
      <c r="Q38" s="125">
        <f t="shared" si="2"/>
        <v>38</v>
      </c>
    </row>
    <row r="39" spans="1:18" ht="19.05" customHeight="1">
      <c r="A39" s="126">
        <v>35</v>
      </c>
      <c r="B39" s="142" t="s">
        <v>150</v>
      </c>
      <c r="C39" s="127">
        <v>100</v>
      </c>
      <c r="D39" s="125">
        <v>0</v>
      </c>
      <c r="E39" s="128">
        <v>20</v>
      </c>
      <c r="F39" s="115">
        <v>0</v>
      </c>
      <c r="G39" s="128">
        <v>0</v>
      </c>
      <c r="H39" s="125">
        <v>0</v>
      </c>
      <c r="I39" s="125">
        <v>0</v>
      </c>
      <c r="J39" s="125">
        <v>0</v>
      </c>
      <c r="K39" s="128">
        <v>15</v>
      </c>
      <c r="L39" s="128">
        <v>0</v>
      </c>
      <c r="M39" s="128">
        <v>37</v>
      </c>
      <c r="N39" s="125"/>
      <c r="O39" s="125">
        <f t="shared" si="0"/>
        <v>172</v>
      </c>
      <c r="P39" s="129">
        <f t="shared" si="1"/>
        <v>12.285714285714286</v>
      </c>
      <c r="Q39" s="125">
        <f t="shared" si="2"/>
        <v>39</v>
      </c>
      <c r="R39" s="39"/>
    </row>
    <row r="40" spans="1:18" ht="19.05" customHeight="1">
      <c r="A40" s="126">
        <v>36</v>
      </c>
      <c r="B40" s="142" t="s">
        <v>151</v>
      </c>
      <c r="C40" s="127">
        <v>120</v>
      </c>
      <c r="D40" s="125">
        <v>32</v>
      </c>
      <c r="E40" s="128">
        <v>22</v>
      </c>
      <c r="F40" s="115">
        <v>32</v>
      </c>
      <c r="G40" s="128">
        <v>0</v>
      </c>
      <c r="H40" s="125">
        <v>10</v>
      </c>
      <c r="I40" s="125">
        <v>13</v>
      </c>
      <c r="J40" s="125">
        <v>32</v>
      </c>
      <c r="K40" s="128">
        <v>24</v>
      </c>
      <c r="L40" s="128">
        <v>50</v>
      </c>
      <c r="M40" s="128">
        <v>30</v>
      </c>
      <c r="N40" s="125"/>
      <c r="O40" s="125">
        <f t="shared" si="0"/>
        <v>365</v>
      </c>
      <c r="P40" s="129">
        <f t="shared" si="1"/>
        <v>26.071428571428573</v>
      </c>
      <c r="Q40" s="125">
        <f t="shared" si="2"/>
        <v>19</v>
      </c>
    </row>
    <row r="41" spans="1:18" ht="19.05" customHeight="1">
      <c r="A41" s="126">
        <v>37</v>
      </c>
      <c r="B41" s="142" t="s">
        <v>152</v>
      </c>
      <c r="C41" s="127">
        <v>100</v>
      </c>
      <c r="D41" s="125">
        <v>34</v>
      </c>
      <c r="E41" s="128">
        <v>20</v>
      </c>
      <c r="F41" s="115">
        <v>30</v>
      </c>
      <c r="G41" s="128">
        <v>5</v>
      </c>
      <c r="H41" s="125">
        <v>10</v>
      </c>
      <c r="I41" s="125">
        <v>10</v>
      </c>
      <c r="J41" s="125">
        <v>35</v>
      </c>
      <c r="K41" s="128">
        <v>15</v>
      </c>
      <c r="L41" s="128">
        <v>64</v>
      </c>
      <c r="M41" s="128">
        <v>30</v>
      </c>
      <c r="N41" s="125"/>
      <c r="O41" s="125">
        <f t="shared" si="0"/>
        <v>353</v>
      </c>
      <c r="P41" s="129">
        <f t="shared" si="1"/>
        <v>25.214285714285715</v>
      </c>
      <c r="Q41" s="125">
        <f t="shared" si="2"/>
        <v>22</v>
      </c>
    </row>
    <row r="42" spans="1:18" ht="19.05" customHeight="1">
      <c r="A42" s="126">
        <v>38</v>
      </c>
      <c r="B42" s="142" t="s">
        <v>153</v>
      </c>
      <c r="C42" s="127">
        <v>80</v>
      </c>
      <c r="D42" s="125">
        <v>30</v>
      </c>
      <c r="E42" s="128">
        <v>20</v>
      </c>
      <c r="F42" s="115">
        <v>33</v>
      </c>
      <c r="G42" s="128">
        <v>5</v>
      </c>
      <c r="H42" s="125">
        <v>0</v>
      </c>
      <c r="I42" s="125">
        <v>10</v>
      </c>
      <c r="J42" s="125">
        <v>35</v>
      </c>
      <c r="K42" s="128">
        <v>15</v>
      </c>
      <c r="L42" s="128">
        <v>68</v>
      </c>
      <c r="M42" s="128">
        <v>30</v>
      </c>
      <c r="N42" s="125"/>
      <c r="O42" s="125">
        <f t="shared" si="0"/>
        <v>326</v>
      </c>
      <c r="P42" s="129">
        <f t="shared" si="1"/>
        <v>23.285714285714285</v>
      </c>
      <c r="Q42" s="125">
        <f t="shared" si="2"/>
        <v>28</v>
      </c>
    </row>
    <row r="43" spans="1:18" ht="19.05" customHeight="1">
      <c r="A43" s="126">
        <v>39</v>
      </c>
      <c r="B43" s="142" t="s">
        <v>154</v>
      </c>
      <c r="C43" s="127">
        <v>100</v>
      </c>
      <c r="D43" s="125">
        <v>35</v>
      </c>
      <c r="E43" s="128">
        <v>19</v>
      </c>
      <c r="F43" s="115">
        <v>34</v>
      </c>
      <c r="G43" s="128">
        <v>5</v>
      </c>
      <c r="H43" s="125">
        <v>10</v>
      </c>
      <c r="I43" s="125">
        <v>10</v>
      </c>
      <c r="J43" s="125">
        <v>34</v>
      </c>
      <c r="K43" s="128">
        <v>24</v>
      </c>
      <c r="L43" s="128">
        <v>94</v>
      </c>
      <c r="M43" s="128">
        <v>30</v>
      </c>
      <c r="N43" s="125"/>
      <c r="O43" s="125">
        <f t="shared" si="0"/>
        <v>395</v>
      </c>
      <c r="P43" s="129">
        <f t="shared" si="1"/>
        <v>28.214285714285715</v>
      </c>
      <c r="Q43" s="125">
        <f t="shared" si="2"/>
        <v>13</v>
      </c>
    </row>
    <row r="44" spans="1:18" ht="19.05" customHeight="1">
      <c r="A44" s="126">
        <v>40</v>
      </c>
      <c r="B44" s="142" t="s">
        <v>155</v>
      </c>
      <c r="C44" s="127">
        <v>100</v>
      </c>
      <c r="D44" s="125">
        <v>33</v>
      </c>
      <c r="E44" s="128">
        <v>19</v>
      </c>
      <c r="F44" s="115">
        <v>33</v>
      </c>
      <c r="G44" s="128">
        <v>5</v>
      </c>
      <c r="H44" s="125">
        <v>10</v>
      </c>
      <c r="I44" s="125">
        <v>18</v>
      </c>
      <c r="J44" s="125">
        <v>35</v>
      </c>
      <c r="K44" s="128">
        <v>15</v>
      </c>
      <c r="L44" s="128">
        <v>0</v>
      </c>
      <c r="M44" s="128">
        <v>37</v>
      </c>
      <c r="N44" s="125"/>
      <c r="O44" s="125">
        <f t="shared" si="0"/>
        <v>305</v>
      </c>
      <c r="P44" s="129">
        <f t="shared" si="1"/>
        <v>21.785714285714285</v>
      </c>
      <c r="Q44" s="125">
        <f t="shared" si="2"/>
        <v>33</v>
      </c>
    </row>
    <row r="45" spans="1:18" ht="19.05" customHeight="1">
      <c r="A45" s="126">
        <v>41</v>
      </c>
      <c r="B45" s="142" t="s">
        <v>156</v>
      </c>
      <c r="C45" s="127">
        <v>100</v>
      </c>
      <c r="D45" s="125">
        <v>32</v>
      </c>
      <c r="E45" s="128">
        <v>22</v>
      </c>
      <c r="F45" s="115">
        <v>0</v>
      </c>
      <c r="G45" s="128">
        <v>10</v>
      </c>
      <c r="H45" s="125">
        <v>10</v>
      </c>
      <c r="I45" s="125">
        <v>5</v>
      </c>
      <c r="J45" s="125">
        <v>36</v>
      </c>
      <c r="K45" s="128">
        <v>15</v>
      </c>
      <c r="L45" s="128">
        <v>84</v>
      </c>
      <c r="M45" s="128">
        <v>37</v>
      </c>
      <c r="N45" s="125"/>
      <c r="O45" s="125">
        <f t="shared" si="0"/>
        <v>351</v>
      </c>
      <c r="P45" s="129">
        <f t="shared" si="1"/>
        <v>25.071428571428573</v>
      </c>
      <c r="Q45" s="125">
        <f t="shared" si="2"/>
        <v>23</v>
      </c>
    </row>
    <row r="46" spans="1:18" ht="19.05" customHeight="1">
      <c r="A46" s="126">
        <v>42</v>
      </c>
      <c r="B46" s="142" t="s">
        <v>157</v>
      </c>
      <c r="C46" s="127">
        <v>110</v>
      </c>
      <c r="D46" s="125">
        <v>33</v>
      </c>
      <c r="E46" s="128">
        <v>22</v>
      </c>
      <c r="F46" s="115">
        <v>32</v>
      </c>
      <c r="G46" s="128">
        <v>130</v>
      </c>
      <c r="H46" s="125">
        <v>50</v>
      </c>
      <c r="I46" s="125">
        <v>20</v>
      </c>
      <c r="J46" s="125">
        <v>36</v>
      </c>
      <c r="K46" s="128">
        <v>24</v>
      </c>
      <c r="L46" s="128">
        <v>74</v>
      </c>
      <c r="M46" s="128">
        <v>36</v>
      </c>
      <c r="N46" s="125"/>
      <c r="O46" s="125">
        <f t="shared" si="0"/>
        <v>567</v>
      </c>
      <c r="P46" s="129">
        <f t="shared" si="1"/>
        <v>40.5</v>
      </c>
      <c r="Q46" s="125">
        <f t="shared" si="2"/>
        <v>3</v>
      </c>
    </row>
    <row r="47" spans="1:18" ht="19.05" customHeight="1">
      <c r="A47" s="126">
        <v>43</v>
      </c>
      <c r="B47" s="142" t="s">
        <v>158</v>
      </c>
      <c r="C47" s="127">
        <v>120</v>
      </c>
      <c r="D47" s="125">
        <v>33</v>
      </c>
      <c r="E47" s="128">
        <v>21</v>
      </c>
      <c r="F47" s="115">
        <v>33</v>
      </c>
      <c r="G47" s="128">
        <v>100</v>
      </c>
      <c r="H47" s="125">
        <v>10</v>
      </c>
      <c r="I47" s="125">
        <v>11</v>
      </c>
      <c r="J47" s="125">
        <v>34</v>
      </c>
      <c r="K47" s="128">
        <v>15</v>
      </c>
      <c r="L47" s="128">
        <v>88</v>
      </c>
      <c r="M47" s="128">
        <v>36</v>
      </c>
      <c r="N47" s="125"/>
      <c r="O47" s="125">
        <f t="shared" si="0"/>
        <v>501</v>
      </c>
      <c r="P47" s="129">
        <f t="shared" si="1"/>
        <v>35.785714285714285</v>
      </c>
      <c r="Q47" s="125">
        <f t="shared" si="2"/>
        <v>6</v>
      </c>
    </row>
    <row r="48" spans="1:18" ht="19.05" customHeight="1">
      <c r="A48" s="126">
        <v>44</v>
      </c>
      <c r="B48" s="142" t="s">
        <v>159</v>
      </c>
      <c r="C48" s="127">
        <v>120</v>
      </c>
      <c r="D48" s="125">
        <v>34</v>
      </c>
      <c r="E48" s="128">
        <v>0</v>
      </c>
      <c r="F48" s="115">
        <v>33</v>
      </c>
      <c r="G48" s="128">
        <v>5</v>
      </c>
      <c r="H48" s="125">
        <v>10</v>
      </c>
      <c r="I48" s="125">
        <v>10</v>
      </c>
      <c r="J48" s="125">
        <v>32</v>
      </c>
      <c r="K48" s="128">
        <v>24</v>
      </c>
      <c r="L48" s="128">
        <v>83</v>
      </c>
      <c r="M48" s="128">
        <v>37</v>
      </c>
      <c r="N48" s="125"/>
      <c r="O48" s="125">
        <f t="shared" si="0"/>
        <v>388</v>
      </c>
      <c r="P48" s="129">
        <f t="shared" si="1"/>
        <v>27.714285714285715</v>
      </c>
      <c r="Q48" s="125">
        <f t="shared" si="2"/>
        <v>15</v>
      </c>
    </row>
    <row r="49" spans="1:17" ht="19.05" customHeight="1">
      <c r="A49" s="126">
        <v>45</v>
      </c>
      <c r="B49" s="142" t="s">
        <v>160</v>
      </c>
      <c r="C49" s="127">
        <v>120</v>
      </c>
      <c r="D49" s="125">
        <v>34</v>
      </c>
      <c r="E49" s="128">
        <v>19</v>
      </c>
      <c r="F49" s="115">
        <v>32</v>
      </c>
      <c r="G49" s="128">
        <v>5</v>
      </c>
      <c r="H49" s="125">
        <v>10</v>
      </c>
      <c r="I49" s="125">
        <v>14</v>
      </c>
      <c r="J49" s="125">
        <v>32</v>
      </c>
      <c r="K49" s="128">
        <v>15</v>
      </c>
      <c r="L49" s="128">
        <v>52</v>
      </c>
      <c r="M49" s="128">
        <v>30</v>
      </c>
      <c r="N49" s="125"/>
      <c r="O49" s="125">
        <f t="shared" si="0"/>
        <v>363</v>
      </c>
      <c r="P49" s="129">
        <f t="shared" si="1"/>
        <v>25.928571428571427</v>
      </c>
      <c r="Q49" s="125">
        <f t="shared" si="2"/>
        <v>20</v>
      </c>
    </row>
    <row r="50" spans="1:17" ht="19.05" customHeight="1">
      <c r="A50" s="126">
        <v>46</v>
      </c>
      <c r="B50" s="142" t="s">
        <v>161</v>
      </c>
      <c r="C50" s="127">
        <v>110</v>
      </c>
      <c r="D50" s="125">
        <v>35</v>
      </c>
      <c r="E50" s="128">
        <v>0</v>
      </c>
      <c r="F50" s="115">
        <v>0</v>
      </c>
      <c r="G50" s="128">
        <v>5</v>
      </c>
      <c r="H50" s="125">
        <v>0</v>
      </c>
      <c r="I50" s="125">
        <v>0</v>
      </c>
      <c r="J50" s="125">
        <v>35</v>
      </c>
      <c r="K50" s="128">
        <v>15</v>
      </c>
      <c r="L50" s="128">
        <v>87</v>
      </c>
      <c r="M50" s="128">
        <v>30</v>
      </c>
      <c r="N50" s="125"/>
      <c r="O50" s="125">
        <f t="shared" si="0"/>
        <v>317</v>
      </c>
      <c r="P50" s="129">
        <f t="shared" si="1"/>
        <v>22.642857142857142</v>
      </c>
      <c r="Q50" s="125">
        <f t="shared" si="2"/>
        <v>30</v>
      </c>
    </row>
    <row r="51" spans="1:17" ht="19.05" customHeight="1">
      <c r="A51" s="130" t="s">
        <v>69</v>
      </c>
      <c r="B51" s="130"/>
      <c r="C51" s="130"/>
      <c r="D51" s="130"/>
      <c r="E51" s="130"/>
      <c r="F51" s="130"/>
      <c r="G51" s="130"/>
      <c r="H51" s="130"/>
      <c r="I51" s="131"/>
      <c r="J51" s="132"/>
      <c r="K51" s="132"/>
      <c r="L51" s="132"/>
      <c r="M51" s="133" t="s">
        <v>164</v>
      </c>
      <c r="N51" s="132"/>
      <c r="O51" s="132"/>
      <c r="P51" s="132"/>
      <c r="Q51" s="134"/>
    </row>
    <row r="52" spans="1:17" ht="19.05" customHeight="1">
      <c r="A52" s="130" t="s">
        <v>70</v>
      </c>
      <c r="B52" s="135"/>
      <c r="C52" s="135"/>
      <c r="D52" s="135"/>
      <c r="E52" s="135"/>
      <c r="F52" s="135"/>
      <c r="G52" s="135"/>
      <c r="H52" s="135"/>
      <c r="I52" s="135"/>
      <c r="J52" s="136"/>
      <c r="K52" s="136"/>
      <c r="L52" s="136"/>
      <c r="M52" s="137" t="s">
        <v>162</v>
      </c>
      <c r="N52" s="136"/>
      <c r="O52" s="136"/>
      <c r="P52" s="136"/>
      <c r="Q52" s="134"/>
    </row>
    <row r="53" spans="1:17" ht="19.0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6"/>
      <c r="K53" s="136"/>
      <c r="L53" s="136"/>
      <c r="M53" s="133"/>
      <c r="N53" s="136"/>
      <c r="O53" s="136"/>
      <c r="P53" s="136"/>
      <c r="Q53" s="134"/>
    </row>
    <row r="54" spans="1:17" ht="19.0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8"/>
      <c r="K54" s="138"/>
      <c r="L54" s="136"/>
      <c r="M54" s="139" t="s">
        <v>163</v>
      </c>
      <c r="N54" s="136"/>
      <c r="O54" s="136"/>
      <c r="P54" s="138"/>
      <c r="Q54" s="134"/>
    </row>
    <row r="55" spans="1:17" ht="22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22.5" customHeight="1">
      <c r="A56" s="1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1"/>
    </row>
    <row r="57" spans="1:17" ht="22.5" customHeight="1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</row>
    <row r="58" spans="1:17" ht="22.5" customHeight="1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</sheetData>
  <mergeCells count="1">
    <mergeCell ref="H3:J3"/>
  </mergeCells>
  <printOptions horizontalCentered="1"/>
  <pageMargins left="0.25" right="0.25" top="0" bottom="0" header="0" footer="0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"/>
  <sheetViews>
    <sheetView tabSelected="1" zoomScale="121" zoomScaleNormal="121" workbookViewId="0">
      <selection activeCell="D6" sqref="D6"/>
    </sheetView>
  </sheetViews>
  <sheetFormatPr defaultRowHeight="14.25"/>
  <cols>
    <col min="1" max="1" width="7.19921875" customWidth="1"/>
    <col min="2" max="2" width="22.73046875" customWidth="1"/>
    <col min="3" max="3" width="13.19921875" customWidth="1"/>
    <col min="4" max="4" width="23.265625" customWidth="1"/>
    <col min="5" max="5" width="20.1328125" customWidth="1"/>
    <col min="6" max="6" width="17.53125" customWidth="1"/>
    <col min="7" max="7" width="7.33203125" customWidth="1"/>
    <col min="8" max="8" width="23.19921875" customWidth="1"/>
    <col min="9" max="9" width="6.86328125" customWidth="1"/>
  </cols>
  <sheetData>
    <row r="1" spans="1:17" ht="26.65" customHeight="1">
      <c r="A1" s="1"/>
      <c r="B1" s="1"/>
      <c r="C1" s="1"/>
      <c r="D1" s="93" t="s">
        <v>0</v>
      </c>
      <c r="E1" s="93"/>
      <c r="F1" s="3"/>
      <c r="G1" s="3"/>
      <c r="H1" s="3"/>
      <c r="I1" s="2"/>
      <c r="J1" s="2"/>
      <c r="K1" s="2"/>
      <c r="L1" s="1"/>
      <c r="M1" s="1"/>
      <c r="N1" s="1"/>
      <c r="O1" s="1"/>
    </row>
    <row r="2" spans="1:17" ht="30" customHeight="1">
      <c r="A2" s="19" t="s">
        <v>2</v>
      </c>
      <c r="B2" s="19"/>
      <c r="C2" s="19"/>
      <c r="D2" s="94" t="s">
        <v>1</v>
      </c>
      <c r="E2" s="94"/>
      <c r="F2" s="19"/>
      <c r="G2" s="19"/>
      <c r="H2" s="19"/>
      <c r="I2" s="16"/>
      <c r="J2" s="2"/>
      <c r="K2" s="3"/>
      <c r="L2" s="3"/>
      <c r="M2" s="1"/>
      <c r="N2" s="1"/>
      <c r="O2" s="1"/>
    </row>
    <row r="3" spans="1:17" ht="37.9" customHeight="1">
      <c r="A3" s="19" t="s">
        <v>72</v>
      </c>
      <c r="B3" s="19"/>
      <c r="C3" s="19"/>
      <c r="D3" s="36" t="s">
        <v>165</v>
      </c>
      <c r="E3" s="140" t="s">
        <v>115</v>
      </c>
      <c r="F3" s="116"/>
      <c r="G3" s="116"/>
      <c r="H3" s="3"/>
      <c r="I3" s="1"/>
      <c r="J3" s="1"/>
      <c r="K3" s="14"/>
      <c r="L3" s="1"/>
      <c r="M3" s="1"/>
      <c r="N3" s="1"/>
      <c r="O3" s="1"/>
      <c r="P3" s="1"/>
      <c r="Q3" s="1"/>
    </row>
    <row r="4" spans="1:17" ht="19.899999999999999" customHeight="1">
      <c r="A4" s="5" t="s">
        <v>4</v>
      </c>
      <c r="B4" s="6" t="s">
        <v>5</v>
      </c>
      <c r="C4" s="6" t="s">
        <v>66</v>
      </c>
      <c r="D4" s="6" t="s">
        <v>67</v>
      </c>
      <c r="E4" s="6" t="s">
        <v>75</v>
      </c>
      <c r="F4" s="17"/>
      <c r="G4" s="17"/>
      <c r="H4" s="17"/>
      <c r="I4" s="95"/>
      <c r="J4" s="15"/>
      <c r="K4" s="15"/>
    </row>
    <row r="5" spans="1:17" ht="19.899999999999999" customHeight="1">
      <c r="A5" s="91">
        <v>1</v>
      </c>
      <c r="B5" s="141" t="s">
        <v>133</v>
      </c>
      <c r="C5" s="42">
        <v>583</v>
      </c>
      <c r="D5" s="23">
        <v>41.642857142857146</v>
      </c>
      <c r="E5" s="40">
        <v>1</v>
      </c>
      <c r="F5" s="17"/>
      <c r="G5" s="17"/>
      <c r="H5" s="17"/>
      <c r="I5" s="95"/>
    </row>
    <row r="6" spans="1:17" ht="19.899999999999999" customHeight="1">
      <c r="A6" s="91">
        <v>2</v>
      </c>
      <c r="B6" s="141" t="s">
        <v>141</v>
      </c>
      <c r="C6" s="42">
        <v>569</v>
      </c>
      <c r="D6" s="23">
        <v>40.642857142857146</v>
      </c>
      <c r="E6" s="40">
        <v>2</v>
      </c>
      <c r="F6" s="17"/>
      <c r="G6" s="17"/>
      <c r="H6" s="17"/>
      <c r="I6" s="95"/>
    </row>
    <row r="7" spans="1:17" ht="19.899999999999999" customHeight="1">
      <c r="A7" s="91">
        <v>3</v>
      </c>
      <c r="B7" s="141" t="s">
        <v>157</v>
      </c>
      <c r="C7" s="42">
        <v>567</v>
      </c>
      <c r="D7" s="23">
        <v>40.5</v>
      </c>
      <c r="E7" s="40">
        <v>3</v>
      </c>
      <c r="F7" s="17"/>
      <c r="G7" s="17"/>
      <c r="H7" s="17"/>
      <c r="I7" s="95"/>
    </row>
    <row r="8" spans="1:17" ht="19.899999999999999" customHeight="1">
      <c r="A8" s="91">
        <v>4</v>
      </c>
      <c r="B8" s="141" t="s">
        <v>123</v>
      </c>
      <c r="C8" s="42">
        <v>506</v>
      </c>
      <c r="D8" s="23">
        <v>36.142857142857146</v>
      </c>
      <c r="E8" s="40">
        <v>4</v>
      </c>
      <c r="F8" s="17"/>
      <c r="G8" s="17"/>
      <c r="H8" s="17"/>
      <c r="I8" s="95"/>
    </row>
    <row r="9" spans="1:17" ht="19.899999999999999" customHeight="1">
      <c r="A9" s="91">
        <v>5</v>
      </c>
      <c r="B9" s="141" t="s">
        <v>134</v>
      </c>
      <c r="C9" s="42">
        <v>502</v>
      </c>
      <c r="D9" s="23">
        <v>35.857142857142854</v>
      </c>
      <c r="E9" s="40">
        <v>5</v>
      </c>
      <c r="F9" s="17"/>
      <c r="G9" s="17"/>
      <c r="H9" s="17"/>
      <c r="I9" s="95"/>
    </row>
    <row r="10" spans="1:17" ht="19.899999999999999" customHeight="1">
      <c r="A10" s="91">
        <v>6</v>
      </c>
      <c r="B10" s="141" t="s">
        <v>158</v>
      </c>
      <c r="C10" s="42">
        <v>501</v>
      </c>
      <c r="D10" s="23">
        <v>35.785714285714285</v>
      </c>
      <c r="E10" s="40">
        <v>6</v>
      </c>
      <c r="F10" s="17"/>
      <c r="G10" s="17"/>
      <c r="H10" s="17"/>
      <c r="I10" s="95"/>
    </row>
    <row r="11" spans="1:17" ht="19.899999999999999" customHeight="1">
      <c r="A11" s="91">
        <v>7</v>
      </c>
      <c r="B11" s="141" t="s">
        <v>132</v>
      </c>
      <c r="C11" s="42">
        <v>435</v>
      </c>
      <c r="D11" s="23">
        <v>31.071428571428573</v>
      </c>
      <c r="E11" s="40">
        <v>7</v>
      </c>
      <c r="F11" s="17"/>
      <c r="G11" s="17"/>
      <c r="H11" s="17"/>
      <c r="I11" s="95"/>
    </row>
    <row r="12" spans="1:17" ht="19.899999999999999" customHeight="1">
      <c r="A12" s="91">
        <v>8</v>
      </c>
      <c r="B12" s="141" t="s">
        <v>118</v>
      </c>
      <c r="C12" s="42">
        <v>430</v>
      </c>
      <c r="D12" s="23">
        <v>30.714285714285715</v>
      </c>
      <c r="E12" s="40">
        <v>8</v>
      </c>
      <c r="F12" s="17"/>
      <c r="G12" s="17"/>
      <c r="H12" s="17"/>
      <c r="I12" s="95"/>
    </row>
    <row r="13" spans="1:17" ht="19.899999999999999" customHeight="1">
      <c r="A13" s="91">
        <v>9</v>
      </c>
      <c r="B13" s="141" t="s">
        <v>125</v>
      </c>
      <c r="C13" s="42">
        <v>425</v>
      </c>
      <c r="D13" s="23">
        <v>30.357142857142858</v>
      </c>
      <c r="E13" s="40">
        <v>9</v>
      </c>
      <c r="F13" s="17"/>
      <c r="G13" s="17"/>
      <c r="H13" s="17"/>
      <c r="I13" s="95"/>
    </row>
    <row r="14" spans="1:17" ht="19.899999999999999" customHeight="1">
      <c r="A14" s="91">
        <v>10</v>
      </c>
      <c r="B14" s="141" t="s">
        <v>139</v>
      </c>
      <c r="C14" s="42">
        <v>416</v>
      </c>
      <c r="D14" s="23">
        <v>29.714285714285715</v>
      </c>
      <c r="E14" s="40">
        <v>10</v>
      </c>
      <c r="F14" s="17"/>
      <c r="G14" s="17"/>
      <c r="H14" s="17"/>
      <c r="I14" s="95"/>
    </row>
    <row r="15" spans="1:17" ht="19.899999999999999" customHeight="1">
      <c r="A15" s="91">
        <v>11</v>
      </c>
      <c r="B15" s="141" t="s">
        <v>136</v>
      </c>
      <c r="C15" s="42">
        <v>399</v>
      </c>
      <c r="D15" s="23">
        <v>28.5</v>
      </c>
      <c r="E15" s="40">
        <v>11</v>
      </c>
      <c r="F15" s="17"/>
      <c r="G15" s="17"/>
      <c r="H15" s="17"/>
      <c r="I15" s="95"/>
    </row>
    <row r="16" spans="1:17" ht="19.899999999999999" customHeight="1">
      <c r="A16" s="91">
        <v>12</v>
      </c>
      <c r="B16" s="141" t="s">
        <v>140</v>
      </c>
      <c r="C16" s="42">
        <v>396</v>
      </c>
      <c r="D16" s="23">
        <v>28.285714285714285</v>
      </c>
      <c r="E16" s="40">
        <v>12</v>
      </c>
      <c r="F16" s="17"/>
      <c r="G16" s="17"/>
      <c r="H16" s="17"/>
      <c r="I16" s="95"/>
    </row>
    <row r="17" spans="1:9" ht="19.899999999999999" customHeight="1">
      <c r="A17" s="91">
        <v>13</v>
      </c>
      <c r="B17" s="141" t="s">
        <v>124</v>
      </c>
      <c r="C17" s="42">
        <v>395</v>
      </c>
      <c r="D17" s="23">
        <v>28.214285714285715</v>
      </c>
      <c r="E17" s="40">
        <v>13</v>
      </c>
      <c r="F17" s="17"/>
      <c r="G17" s="17"/>
      <c r="H17" s="17"/>
      <c r="I17" s="95"/>
    </row>
    <row r="18" spans="1:9" ht="19.899999999999999" customHeight="1">
      <c r="A18" s="91">
        <v>13</v>
      </c>
      <c r="B18" s="141" t="s">
        <v>154</v>
      </c>
      <c r="C18" s="42">
        <v>395</v>
      </c>
      <c r="D18" s="23">
        <v>28.214285714285715</v>
      </c>
      <c r="E18" s="40">
        <v>13</v>
      </c>
      <c r="F18" s="17"/>
      <c r="G18" s="17"/>
      <c r="H18" s="17"/>
      <c r="I18" s="95"/>
    </row>
    <row r="19" spans="1:9" ht="19.899999999999999" customHeight="1">
      <c r="A19" s="91">
        <v>15</v>
      </c>
      <c r="B19" s="141" t="s">
        <v>159</v>
      </c>
      <c r="C19" s="42">
        <v>388</v>
      </c>
      <c r="D19" s="23">
        <v>27.714285714285715</v>
      </c>
      <c r="E19" s="40">
        <v>15</v>
      </c>
      <c r="F19" s="17"/>
      <c r="G19" s="17"/>
      <c r="H19" s="17"/>
      <c r="I19" s="95"/>
    </row>
    <row r="20" spans="1:9" ht="19.899999999999999" customHeight="1">
      <c r="A20" s="91">
        <v>16</v>
      </c>
      <c r="B20" s="141" t="s">
        <v>117</v>
      </c>
      <c r="C20" s="42">
        <v>385</v>
      </c>
      <c r="D20" s="23">
        <v>27.5</v>
      </c>
      <c r="E20" s="40">
        <v>16</v>
      </c>
      <c r="F20" s="17"/>
      <c r="G20" s="17"/>
      <c r="H20" s="17"/>
      <c r="I20" s="95"/>
    </row>
    <row r="21" spans="1:9" ht="19.899999999999999" customHeight="1">
      <c r="A21" s="91">
        <v>17</v>
      </c>
      <c r="B21" s="141" t="s">
        <v>119</v>
      </c>
      <c r="C21" s="42">
        <v>374</v>
      </c>
      <c r="D21" s="23">
        <v>26.714285714285715</v>
      </c>
      <c r="E21" s="40">
        <v>17</v>
      </c>
      <c r="F21" s="17"/>
      <c r="G21" s="17"/>
      <c r="H21" s="17"/>
      <c r="I21" s="95"/>
    </row>
    <row r="22" spans="1:9" ht="19.899999999999999" customHeight="1">
      <c r="A22" s="91">
        <v>17</v>
      </c>
      <c r="B22" s="141" t="s">
        <v>131</v>
      </c>
      <c r="C22" s="42">
        <v>374</v>
      </c>
      <c r="D22" s="23">
        <v>26.714285714285715</v>
      </c>
      <c r="E22" s="40">
        <v>17</v>
      </c>
      <c r="F22" s="17"/>
      <c r="G22" s="17"/>
      <c r="H22" s="17"/>
      <c r="I22" s="95"/>
    </row>
    <row r="23" spans="1:9" ht="19.899999999999999" customHeight="1">
      <c r="A23" s="91">
        <v>19</v>
      </c>
      <c r="B23" s="141" t="s">
        <v>151</v>
      </c>
      <c r="C23" s="42">
        <v>365</v>
      </c>
      <c r="D23" s="23">
        <v>26.071428571428573</v>
      </c>
      <c r="E23" s="40">
        <v>19</v>
      </c>
      <c r="F23" s="17"/>
      <c r="G23" s="17"/>
      <c r="H23" s="17"/>
      <c r="I23" s="95"/>
    </row>
    <row r="24" spans="1:9" ht="19.899999999999999" customHeight="1">
      <c r="A24" s="91">
        <v>20</v>
      </c>
      <c r="B24" s="141" t="s">
        <v>160</v>
      </c>
      <c r="C24" s="42">
        <v>363</v>
      </c>
      <c r="D24" s="23">
        <v>25.928571428571427</v>
      </c>
      <c r="E24" s="40">
        <v>20</v>
      </c>
      <c r="F24" s="17"/>
      <c r="G24" s="17"/>
      <c r="H24" s="17"/>
      <c r="I24" s="95"/>
    </row>
    <row r="25" spans="1:9" ht="19.899999999999999" customHeight="1">
      <c r="A25" s="91">
        <v>21</v>
      </c>
      <c r="B25" s="141" t="s">
        <v>128</v>
      </c>
      <c r="C25" s="42">
        <v>361</v>
      </c>
      <c r="D25" s="23">
        <v>25.785714285714285</v>
      </c>
      <c r="E25" s="40">
        <v>21</v>
      </c>
      <c r="F25" s="17"/>
      <c r="G25" s="17"/>
      <c r="H25" s="17"/>
      <c r="I25" s="95"/>
    </row>
    <row r="26" spans="1:9" ht="19.899999999999999" customHeight="1">
      <c r="A26" s="91">
        <v>22</v>
      </c>
      <c r="B26" s="141" t="s">
        <v>152</v>
      </c>
      <c r="C26" s="42">
        <v>353</v>
      </c>
      <c r="D26" s="23">
        <v>25.214285714285715</v>
      </c>
      <c r="E26" s="40">
        <v>22</v>
      </c>
      <c r="F26" s="17"/>
      <c r="G26" s="17"/>
      <c r="H26" s="17"/>
      <c r="I26" s="95"/>
    </row>
    <row r="27" spans="1:9" ht="19.899999999999999" customHeight="1">
      <c r="A27" s="91">
        <v>23</v>
      </c>
      <c r="B27" s="141" t="s">
        <v>156</v>
      </c>
      <c r="C27" s="42">
        <v>351</v>
      </c>
      <c r="D27" s="23">
        <v>25.071428571428573</v>
      </c>
      <c r="E27" s="40">
        <v>23</v>
      </c>
      <c r="F27" s="17"/>
      <c r="G27" s="17"/>
      <c r="H27" s="17"/>
      <c r="I27" s="95"/>
    </row>
    <row r="28" spans="1:9" ht="19.899999999999999" customHeight="1">
      <c r="A28" s="91">
        <v>24</v>
      </c>
      <c r="B28" s="141" t="s">
        <v>130</v>
      </c>
      <c r="C28" s="42">
        <v>345</v>
      </c>
      <c r="D28" s="23">
        <v>24.642857142857142</v>
      </c>
      <c r="E28" s="40">
        <v>24</v>
      </c>
      <c r="F28" s="17"/>
      <c r="G28" s="17"/>
      <c r="H28" s="17"/>
      <c r="I28" s="95"/>
    </row>
    <row r="29" spans="1:9" ht="19.899999999999999" customHeight="1">
      <c r="A29" s="91">
        <v>25</v>
      </c>
      <c r="B29" s="141" t="s">
        <v>126</v>
      </c>
      <c r="C29" s="42">
        <v>343</v>
      </c>
      <c r="D29" s="23">
        <v>24.5</v>
      </c>
      <c r="E29" s="40">
        <v>25</v>
      </c>
      <c r="F29" s="17"/>
      <c r="G29" s="17"/>
      <c r="H29" s="17"/>
      <c r="I29" s="95"/>
    </row>
    <row r="30" spans="1:9" ht="19.899999999999999" customHeight="1">
      <c r="A30" s="91">
        <v>26</v>
      </c>
      <c r="B30" s="141" t="s">
        <v>147</v>
      </c>
      <c r="C30" s="42">
        <v>340</v>
      </c>
      <c r="D30" s="23">
        <v>24.285714285714285</v>
      </c>
      <c r="E30" s="40">
        <v>26</v>
      </c>
      <c r="F30" s="17"/>
      <c r="G30" s="17"/>
      <c r="H30" s="17"/>
      <c r="I30" s="95"/>
    </row>
    <row r="31" spans="1:9" ht="19.899999999999999" customHeight="1">
      <c r="A31" s="91">
        <v>27</v>
      </c>
      <c r="B31" s="141" t="s">
        <v>127</v>
      </c>
      <c r="C31" s="42">
        <v>338</v>
      </c>
      <c r="D31" s="23">
        <v>24.142857142857142</v>
      </c>
      <c r="E31" s="40">
        <v>27</v>
      </c>
      <c r="F31" s="17"/>
      <c r="G31" s="17"/>
      <c r="H31" s="17"/>
      <c r="I31" s="95"/>
    </row>
    <row r="32" spans="1:9" ht="19.899999999999999" customHeight="1">
      <c r="A32" s="91">
        <v>28</v>
      </c>
      <c r="B32" s="141" t="s">
        <v>153</v>
      </c>
      <c r="C32" s="42">
        <v>326</v>
      </c>
      <c r="D32" s="23">
        <v>23.285714285714285</v>
      </c>
      <c r="E32" s="40">
        <v>28</v>
      </c>
      <c r="F32" s="17"/>
      <c r="G32" s="17"/>
      <c r="H32" s="17"/>
      <c r="I32" s="95"/>
    </row>
    <row r="33" spans="1:9" ht="19.899999999999999" customHeight="1">
      <c r="A33" s="91">
        <v>29</v>
      </c>
      <c r="B33" s="141" t="s">
        <v>116</v>
      </c>
      <c r="C33" s="42">
        <v>322</v>
      </c>
      <c r="D33" s="23">
        <v>23</v>
      </c>
      <c r="E33" s="40">
        <v>29</v>
      </c>
      <c r="F33" s="17"/>
      <c r="G33" s="17"/>
      <c r="H33" s="17"/>
      <c r="I33" s="95"/>
    </row>
    <row r="34" spans="1:9" ht="19.899999999999999" customHeight="1">
      <c r="A34" s="91">
        <v>30</v>
      </c>
      <c r="B34" s="141" t="s">
        <v>161</v>
      </c>
      <c r="C34" s="42">
        <v>317</v>
      </c>
      <c r="D34" s="23">
        <v>22.642857142857142</v>
      </c>
      <c r="E34" s="40">
        <v>30</v>
      </c>
      <c r="F34" s="17"/>
      <c r="G34" s="17"/>
      <c r="H34" s="17"/>
      <c r="I34" s="95"/>
    </row>
    <row r="35" spans="1:9" ht="19.899999999999999" customHeight="1">
      <c r="A35" s="91">
        <v>31</v>
      </c>
      <c r="B35" s="141" t="s">
        <v>145</v>
      </c>
      <c r="C35" s="42">
        <v>314</v>
      </c>
      <c r="D35" s="23">
        <v>22.428571428571427</v>
      </c>
      <c r="E35" s="40">
        <v>31</v>
      </c>
      <c r="F35" s="17"/>
      <c r="G35" s="17"/>
      <c r="H35" s="17"/>
      <c r="I35" s="95"/>
    </row>
    <row r="36" spans="1:9" ht="19.899999999999999" customHeight="1">
      <c r="A36" s="91">
        <v>31</v>
      </c>
      <c r="B36" s="141" t="s">
        <v>146</v>
      </c>
      <c r="C36" s="42">
        <v>314</v>
      </c>
      <c r="D36" s="23">
        <v>22.428571428571427</v>
      </c>
      <c r="E36" s="40">
        <v>31</v>
      </c>
      <c r="F36" s="17"/>
      <c r="G36" s="17"/>
      <c r="H36" s="17"/>
      <c r="I36" s="95"/>
    </row>
    <row r="37" spans="1:9" ht="19.899999999999999" customHeight="1">
      <c r="A37" s="91">
        <v>33</v>
      </c>
      <c r="B37" s="141" t="s">
        <v>155</v>
      </c>
      <c r="C37" s="42">
        <v>305</v>
      </c>
      <c r="D37" s="23">
        <v>21.785714285714285</v>
      </c>
      <c r="E37" s="40">
        <v>33</v>
      </c>
      <c r="F37" s="17"/>
      <c r="G37" s="17"/>
      <c r="H37" s="17"/>
      <c r="I37" s="95"/>
    </row>
    <row r="38" spans="1:9" ht="19.899999999999999" customHeight="1">
      <c r="A38" s="91">
        <v>34</v>
      </c>
      <c r="B38" s="141" t="s">
        <v>135</v>
      </c>
      <c r="C38" s="42">
        <v>290</v>
      </c>
      <c r="D38" s="23">
        <v>20.714285714285715</v>
      </c>
      <c r="E38" s="40">
        <v>34</v>
      </c>
      <c r="F38" s="17"/>
      <c r="G38" s="17"/>
      <c r="H38" s="17"/>
      <c r="I38" s="95"/>
    </row>
    <row r="39" spans="1:9" ht="19.899999999999999" customHeight="1">
      <c r="A39" s="91">
        <v>35</v>
      </c>
      <c r="B39" s="141" t="s">
        <v>120</v>
      </c>
      <c r="C39" s="42">
        <v>281</v>
      </c>
      <c r="D39" s="23">
        <v>20.071428571428573</v>
      </c>
      <c r="E39" s="40">
        <v>35</v>
      </c>
      <c r="F39" s="17"/>
      <c r="G39" s="17"/>
      <c r="H39" s="17"/>
      <c r="I39" s="95"/>
    </row>
    <row r="40" spans="1:9" ht="19.899999999999999" customHeight="1">
      <c r="A40" s="91">
        <v>36</v>
      </c>
      <c r="B40" s="141" t="s">
        <v>142</v>
      </c>
      <c r="C40" s="42">
        <v>262</v>
      </c>
      <c r="D40" s="23">
        <v>18.714285714285715</v>
      </c>
      <c r="E40" s="40">
        <v>36</v>
      </c>
      <c r="F40" s="17"/>
      <c r="G40" s="17"/>
      <c r="H40" s="17"/>
      <c r="I40" s="95"/>
    </row>
    <row r="41" spans="1:9" ht="19.899999999999999" customHeight="1">
      <c r="A41" s="91">
        <v>37</v>
      </c>
      <c r="B41" s="141" t="s">
        <v>144</v>
      </c>
      <c r="C41" s="42">
        <v>205</v>
      </c>
      <c r="D41" s="23">
        <v>14.642857142857142</v>
      </c>
      <c r="E41" s="40">
        <v>37</v>
      </c>
      <c r="F41" s="17"/>
      <c r="G41" s="17"/>
      <c r="H41" s="17"/>
      <c r="I41" s="95"/>
    </row>
    <row r="42" spans="1:9" ht="19.899999999999999" customHeight="1">
      <c r="A42" s="91">
        <v>38</v>
      </c>
      <c r="B42" s="141" t="s">
        <v>149</v>
      </c>
      <c r="C42" s="42">
        <v>179</v>
      </c>
      <c r="D42" s="23">
        <v>12.785714285714286</v>
      </c>
      <c r="E42" s="40">
        <v>38</v>
      </c>
      <c r="F42" s="17"/>
      <c r="G42" s="17"/>
      <c r="H42" s="17"/>
      <c r="I42" s="95"/>
    </row>
    <row r="43" spans="1:9" ht="19.899999999999999" customHeight="1">
      <c r="A43" s="91">
        <v>39</v>
      </c>
      <c r="B43" s="141" t="s">
        <v>150</v>
      </c>
      <c r="C43" s="42">
        <v>172</v>
      </c>
      <c r="D43" s="23">
        <v>12.285714285714286</v>
      </c>
      <c r="E43" s="40">
        <v>39</v>
      </c>
      <c r="F43" s="17"/>
      <c r="G43" s="17"/>
      <c r="H43" s="17"/>
      <c r="I43" s="95"/>
    </row>
    <row r="44" spans="1:9" ht="19.899999999999999" customHeight="1">
      <c r="A44" s="91">
        <v>40</v>
      </c>
      <c r="B44" s="141" t="s">
        <v>143</v>
      </c>
      <c r="C44" s="42">
        <v>119</v>
      </c>
      <c r="D44" s="23">
        <v>8.5</v>
      </c>
      <c r="E44" s="40">
        <v>40</v>
      </c>
      <c r="F44" s="17"/>
      <c r="G44" s="17"/>
      <c r="H44" s="17"/>
      <c r="I44" s="95"/>
    </row>
    <row r="45" spans="1:9" ht="19.899999999999999" customHeight="1">
      <c r="A45" s="91">
        <v>41</v>
      </c>
      <c r="B45" s="141" t="s">
        <v>129</v>
      </c>
      <c r="C45" s="42">
        <v>104</v>
      </c>
      <c r="D45" s="23">
        <v>7.4285714285714288</v>
      </c>
      <c r="E45" s="40">
        <v>41</v>
      </c>
      <c r="F45" s="17"/>
      <c r="G45" s="17"/>
      <c r="H45" s="17"/>
      <c r="I45" s="95"/>
    </row>
    <row r="46" spans="1:9" ht="19.899999999999999" customHeight="1">
      <c r="A46" s="91">
        <v>42</v>
      </c>
      <c r="B46" s="141" t="s">
        <v>121</v>
      </c>
      <c r="C46" s="42">
        <v>94</v>
      </c>
      <c r="D46" s="23">
        <v>6.7142857142857144</v>
      </c>
      <c r="E46" s="40">
        <v>42</v>
      </c>
      <c r="F46" s="17"/>
      <c r="G46" s="17"/>
      <c r="H46" s="17"/>
      <c r="I46" s="95"/>
    </row>
    <row r="47" spans="1:9" ht="19.899999999999999" customHeight="1">
      <c r="A47" s="91">
        <v>43</v>
      </c>
      <c r="B47" s="141" t="s">
        <v>122</v>
      </c>
      <c r="C47" s="42">
        <v>93</v>
      </c>
      <c r="D47" s="23">
        <v>6.6428571428571432</v>
      </c>
      <c r="E47" s="40">
        <v>43</v>
      </c>
      <c r="F47" s="17"/>
      <c r="G47" s="17"/>
      <c r="H47" s="17"/>
      <c r="I47" s="95"/>
    </row>
    <row r="48" spans="1:9" ht="19.899999999999999" customHeight="1">
      <c r="A48" s="91">
        <v>44</v>
      </c>
      <c r="B48" s="141" t="s">
        <v>137</v>
      </c>
      <c r="C48" s="42">
        <v>15</v>
      </c>
      <c r="D48" s="23">
        <v>1.0714285714285714</v>
      </c>
      <c r="E48" s="40">
        <v>44</v>
      </c>
      <c r="F48" s="17"/>
      <c r="G48" s="17"/>
      <c r="H48" s="17"/>
      <c r="I48" s="95"/>
    </row>
    <row r="49" spans="1:9" ht="19.899999999999999" customHeight="1">
      <c r="A49" s="91">
        <v>44</v>
      </c>
      <c r="B49" s="141" t="s">
        <v>138</v>
      </c>
      <c r="C49" s="42">
        <v>15</v>
      </c>
      <c r="D49" s="23">
        <v>1.0714285714285714</v>
      </c>
      <c r="E49" s="40">
        <v>44</v>
      </c>
      <c r="F49" s="17"/>
      <c r="G49" s="17"/>
      <c r="H49" s="17"/>
      <c r="I49" s="95"/>
    </row>
    <row r="50" spans="1:9" ht="19.899999999999999" customHeight="1">
      <c r="A50" s="91">
        <v>44</v>
      </c>
      <c r="B50" s="141" t="s">
        <v>148</v>
      </c>
      <c r="C50" s="42">
        <v>15</v>
      </c>
      <c r="D50" s="23">
        <v>1.0714285714285714</v>
      </c>
      <c r="E50" s="40">
        <v>44</v>
      </c>
      <c r="F50" s="17"/>
      <c r="G50" s="17"/>
      <c r="H50" s="17"/>
      <c r="I50" s="95"/>
    </row>
    <row r="51" spans="1:9">
      <c r="A51" s="10" t="s">
        <v>69</v>
      </c>
      <c r="B51" s="10"/>
      <c r="C51" s="25"/>
      <c r="D51" s="27" t="s">
        <v>85</v>
      </c>
      <c r="E51" s="28"/>
      <c r="F51" s="11"/>
    </row>
    <row r="52" spans="1:9">
      <c r="A52" s="11" t="s">
        <v>70</v>
      </c>
      <c r="B52" s="26"/>
      <c r="C52" s="25"/>
      <c r="D52" s="29" t="s">
        <v>71</v>
      </c>
      <c r="E52" s="29"/>
    </row>
    <row r="53" spans="1:9">
      <c r="A53" s="25"/>
      <c r="B53" s="25"/>
      <c r="C53" s="25"/>
      <c r="D53" s="29"/>
      <c r="E53" s="30"/>
    </row>
    <row r="54" spans="1:9">
      <c r="A54" s="25"/>
      <c r="B54" s="25"/>
      <c r="C54" s="25"/>
      <c r="D54" s="29" t="s">
        <v>76</v>
      </c>
      <c r="E54" s="29"/>
    </row>
  </sheetData>
  <sortState xmlns:xlrd2="http://schemas.microsoft.com/office/spreadsheetml/2017/richdata2" ref="A5:E50">
    <sortCondition ref="A5:A50"/>
  </sortState>
  <mergeCells count="3">
    <mergeCell ref="D1:E1"/>
    <mergeCell ref="D2:E2"/>
    <mergeCell ref="I4:I50"/>
  </mergeCells>
  <pageMargins left="0.45" right="0.2" top="0.7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8"/>
  <sheetViews>
    <sheetView topLeftCell="A37" zoomScale="115" zoomScaleNormal="115" workbookViewId="0">
      <selection activeCell="P5" sqref="P5:P54"/>
    </sheetView>
  </sheetViews>
  <sheetFormatPr defaultRowHeight="14.25"/>
  <cols>
    <col min="1" max="1" width="4.59765625" customWidth="1"/>
    <col min="2" max="2" width="20.6640625" customWidth="1"/>
    <col min="3" max="3" width="7.33203125" customWidth="1"/>
    <col min="4" max="4" width="6.33203125" customWidth="1"/>
    <col min="5" max="6" width="6.796875" customWidth="1"/>
    <col min="7" max="7" width="8.265625" customWidth="1"/>
    <col min="8" max="8" width="6.796875" customWidth="1"/>
    <col min="9" max="9" width="6.6640625" customWidth="1"/>
    <col min="10" max="11" width="6.265625" customWidth="1"/>
    <col min="12" max="12" width="7.6640625" customWidth="1"/>
    <col min="13" max="13" width="7.19921875" customWidth="1"/>
    <col min="14" max="14" width="6.9296875" customWidth="1"/>
    <col min="15" max="15" width="8.796875" customWidth="1"/>
    <col min="16" max="16" width="9.59765625" customWidth="1"/>
    <col min="17" max="17" width="11.06640625" customWidth="1"/>
  </cols>
  <sheetData>
    <row r="1" spans="1:18" ht="20.25" customHeight="1">
      <c r="A1" s="1"/>
      <c r="B1" s="1"/>
      <c r="C1" s="1"/>
      <c r="D1" s="1"/>
      <c r="E1" s="1"/>
      <c r="F1" s="1"/>
      <c r="G1" s="2"/>
      <c r="H1" s="1"/>
      <c r="I1" s="2" t="s">
        <v>0</v>
      </c>
      <c r="J1" s="2"/>
      <c r="K1" s="2"/>
      <c r="L1" s="1"/>
      <c r="M1" s="1"/>
      <c r="N1" s="1"/>
      <c r="O1" s="1"/>
    </row>
    <row r="2" spans="1:18">
      <c r="A2" s="3" t="s">
        <v>2</v>
      </c>
      <c r="B2" s="3"/>
      <c r="C2" s="3"/>
      <c r="D2" s="3"/>
      <c r="E2" s="1"/>
      <c r="F2" s="1"/>
      <c r="G2" s="2"/>
      <c r="H2" s="1"/>
      <c r="I2" s="2" t="s">
        <v>1</v>
      </c>
      <c r="J2" s="2"/>
      <c r="K2" s="3"/>
      <c r="L2" s="3"/>
      <c r="M2" s="1"/>
      <c r="N2" s="1"/>
      <c r="O2" s="1"/>
    </row>
    <row r="3" spans="1:18" ht="20.65" customHeight="1">
      <c r="A3" s="3" t="s">
        <v>72</v>
      </c>
      <c r="B3" s="3"/>
      <c r="C3" s="3"/>
      <c r="D3" s="3"/>
      <c r="E3" s="1"/>
      <c r="F3" s="4"/>
      <c r="G3" s="4"/>
      <c r="H3" s="92" t="s">
        <v>77</v>
      </c>
      <c r="I3" s="92"/>
      <c r="J3" s="92"/>
      <c r="K3" s="4"/>
      <c r="L3" s="1"/>
      <c r="M3" s="1"/>
      <c r="N3" s="1"/>
      <c r="O3" s="1" t="s">
        <v>3</v>
      </c>
      <c r="P3" s="1"/>
      <c r="Q3" s="1"/>
      <c r="R3" s="1"/>
    </row>
    <row r="4" spans="1:18" ht="22.9" customHeight="1">
      <c r="A4" s="5" t="s">
        <v>4</v>
      </c>
      <c r="B4" s="6" t="s">
        <v>5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6" t="s">
        <v>65</v>
      </c>
      <c r="O4" s="6" t="s">
        <v>66</v>
      </c>
      <c r="P4" s="6" t="s">
        <v>67</v>
      </c>
      <c r="Q4" s="6" t="s">
        <v>68</v>
      </c>
    </row>
    <row r="5" spans="1:18" ht="19.05" customHeight="1">
      <c r="A5" s="7">
        <v>1</v>
      </c>
      <c r="B5" s="8" t="s">
        <v>6</v>
      </c>
      <c r="C5" s="12">
        <v>100</v>
      </c>
      <c r="D5" s="12">
        <v>36</v>
      </c>
      <c r="E5" s="12">
        <v>37</v>
      </c>
      <c r="F5" s="12">
        <v>38</v>
      </c>
      <c r="G5" s="12">
        <v>120</v>
      </c>
      <c r="H5" s="12">
        <v>5</v>
      </c>
      <c r="I5" s="12">
        <v>37</v>
      </c>
      <c r="J5" s="12">
        <v>38</v>
      </c>
      <c r="K5" s="12">
        <v>25</v>
      </c>
      <c r="L5" s="12">
        <v>81</v>
      </c>
      <c r="M5" s="12">
        <v>37</v>
      </c>
      <c r="N5" s="12">
        <v>47</v>
      </c>
      <c r="O5" s="12">
        <f>SUM(C5,D5,E5,F5,G5,H5,I5,J5,K5,L5,M5,N5)</f>
        <v>601</v>
      </c>
      <c r="P5" s="13">
        <f>SUM(O5/14)</f>
        <v>42.928571428571431</v>
      </c>
      <c r="Q5" s="12">
        <f>RANK(P5,$P$5:$P$54,0)</f>
        <v>9</v>
      </c>
    </row>
    <row r="6" spans="1:18" ht="19.05" customHeight="1">
      <c r="A6" s="7">
        <v>2</v>
      </c>
      <c r="B6" s="8" t="s">
        <v>7</v>
      </c>
      <c r="C6" s="12">
        <v>100</v>
      </c>
      <c r="D6" s="12">
        <v>35</v>
      </c>
      <c r="E6" s="12">
        <v>37</v>
      </c>
      <c r="F6" s="12">
        <v>38</v>
      </c>
      <c r="G6" s="12">
        <v>110</v>
      </c>
      <c r="H6" s="12">
        <v>0</v>
      </c>
      <c r="I6" s="12">
        <v>36</v>
      </c>
      <c r="J6" s="12">
        <v>38</v>
      </c>
      <c r="K6" s="12">
        <v>25</v>
      </c>
      <c r="L6" s="12">
        <v>63</v>
      </c>
      <c r="M6" s="12">
        <v>37</v>
      </c>
      <c r="N6" s="12">
        <v>45</v>
      </c>
      <c r="O6" s="12">
        <f>SUM(C6,D6,E6,F6,G6,H6,I6,J6,K6,L6,M6,N6)</f>
        <v>564</v>
      </c>
      <c r="P6" s="13">
        <f t="shared" ref="P6:P54" si="0">SUM(O6)/14</f>
        <v>40.285714285714285</v>
      </c>
      <c r="Q6" s="12">
        <f t="shared" ref="Q6:Q54" si="1">RANK(P6,$P$5:$P$54,0)</f>
        <v>16</v>
      </c>
    </row>
    <row r="7" spans="1:18" ht="19.05" customHeight="1">
      <c r="A7" s="7">
        <v>3</v>
      </c>
      <c r="B7" s="8" t="s">
        <v>8</v>
      </c>
      <c r="C7" s="12">
        <v>100</v>
      </c>
      <c r="D7" s="12">
        <v>0</v>
      </c>
      <c r="E7" s="12">
        <v>22</v>
      </c>
      <c r="F7" s="12">
        <v>34</v>
      </c>
      <c r="G7" s="12">
        <v>10</v>
      </c>
      <c r="H7" s="12">
        <v>0</v>
      </c>
      <c r="I7" s="12">
        <v>0</v>
      </c>
      <c r="J7" s="12">
        <v>38</v>
      </c>
      <c r="K7" s="12">
        <v>0</v>
      </c>
      <c r="L7" s="12">
        <v>66</v>
      </c>
      <c r="M7" s="12">
        <v>33</v>
      </c>
      <c r="N7" s="12">
        <v>47</v>
      </c>
      <c r="O7" s="12">
        <f t="shared" ref="O7:O54" si="2">SUM(C7,D7,E7,F7,G7,H7,I7,J7,K7,L7,M7,N7)</f>
        <v>350</v>
      </c>
      <c r="P7" s="13">
        <f t="shared" si="0"/>
        <v>25</v>
      </c>
      <c r="Q7" s="12">
        <f t="shared" si="1"/>
        <v>41</v>
      </c>
    </row>
    <row r="8" spans="1:18" ht="19.05" customHeight="1">
      <c r="A8" s="7">
        <v>4</v>
      </c>
      <c r="B8" s="8" t="s">
        <v>9</v>
      </c>
      <c r="C8" s="12">
        <v>100</v>
      </c>
      <c r="D8" s="12">
        <v>34</v>
      </c>
      <c r="E8" s="12">
        <v>34</v>
      </c>
      <c r="F8" s="12">
        <v>34</v>
      </c>
      <c r="G8" s="12">
        <v>20</v>
      </c>
      <c r="H8" s="12">
        <v>15</v>
      </c>
      <c r="I8" s="12">
        <v>10</v>
      </c>
      <c r="J8" s="12">
        <v>38</v>
      </c>
      <c r="K8" s="12">
        <v>24</v>
      </c>
      <c r="L8" s="12">
        <v>63</v>
      </c>
      <c r="M8" s="12">
        <v>33</v>
      </c>
      <c r="N8" s="12">
        <v>0</v>
      </c>
      <c r="O8" s="12">
        <f t="shared" si="2"/>
        <v>405</v>
      </c>
      <c r="P8" s="13">
        <f t="shared" si="0"/>
        <v>28.928571428571427</v>
      </c>
      <c r="Q8" s="12">
        <f t="shared" si="1"/>
        <v>35</v>
      </c>
    </row>
    <row r="9" spans="1:18" ht="19.05" customHeight="1">
      <c r="A9" s="7">
        <v>5</v>
      </c>
      <c r="B9" s="8" t="s">
        <v>73</v>
      </c>
      <c r="C9" s="12">
        <v>110</v>
      </c>
      <c r="D9" s="12">
        <v>36</v>
      </c>
      <c r="E9" s="12">
        <v>0</v>
      </c>
      <c r="F9" s="12">
        <v>34</v>
      </c>
      <c r="G9" s="12">
        <v>20</v>
      </c>
      <c r="H9" s="12">
        <v>0</v>
      </c>
      <c r="I9" s="12">
        <v>10</v>
      </c>
      <c r="J9" s="12">
        <v>37</v>
      </c>
      <c r="K9" s="12">
        <v>23</v>
      </c>
      <c r="L9" s="12">
        <v>39</v>
      </c>
      <c r="M9" s="12">
        <v>33</v>
      </c>
      <c r="N9" s="12">
        <v>0</v>
      </c>
      <c r="O9" s="12">
        <f t="shared" si="2"/>
        <v>342</v>
      </c>
      <c r="P9" s="13">
        <f t="shared" si="0"/>
        <v>24.428571428571427</v>
      </c>
      <c r="Q9" s="12">
        <f t="shared" si="1"/>
        <v>43</v>
      </c>
    </row>
    <row r="10" spans="1:18" ht="19.05" customHeight="1">
      <c r="A10" s="7">
        <v>6</v>
      </c>
      <c r="B10" s="8" t="s">
        <v>10</v>
      </c>
      <c r="C10" s="12">
        <v>0</v>
      </c>
      <c r="D10" s="12">
        <v>35</v>
      </c>
      <c r="E10" s="12">
        <v>16</v>
      </c>
      <c r="F10" s="12">
        <v>38</v>
      </c>
      <c r="G10" s="12">
        <v>100</v>
      </c>
      <c r="H10" s="12">
        <v>10</v>
      </c>
      <c r="I10" s="12">
        <v>16</v>
      </c>
      <c r="J10" s="12">
        <v>38</v>
      </c>
      <c r="K10" s="12">
        <v>20</v>
      </c>
      <c r="L10" s="12">
        <v>47</v>
      </c>
      <c r="M10" s="12">
        <v>37</v>
      </c>
      <c r="N10" s="12">
        <v>47</v>
      </c>
      <c r="O10" s="12">
        <f t="shared" si="2"/>
        <v>404</v>
      </c>
      <c r="P10" s="13">
        <f t="shared" si="0"/>
        <v>28.857142857142858</v>
      </c>
      <c r="Q10" s="12">
        <f t="shared" si="1"/>
        <v>36</v>
      </c>
    </row>
    <row r="11" spans="1:18" ht="19.05" customHeight="1">
      <c r="A11" s="7">
        <v>7</v>
      </c>
      <c r="B11" s="8" t="s">
        <v>11</v>
      </c>
      <c r="C11" s="12">
        <v>80</v>
      </c>
      <c r="D11" s="12">
        <v>0</v>
      </c>
      <c r="E11" s="12">
        <v>21</v>
      </c>
      <c r="F11" s="12">
        <v>38</v>
      </c>
      <c r="G11" s="12">
        <v>100</v>
      </c>
      <c r="H11" s="12">
        <v>0</v>
      </c>
      <c r="I11" s="12">
        <v>0</v>
      </c>
      <c r="J11" s="12">
        <v>0</v>
      </c>
      <c r="K11" s="12">
        <v>0</v>
      </c>
      <c r="L11" s="12">
        <v>94</v>
      </c>
      <c r="M11" s="12">
        <v>37</v>
      </c>
      <c r="N11" s="12">
        <v>47</v>
      </c>
      <c r="O11" s="12">
        <f t="shared" si="2"/>
        <v>417</v>
      </c>
      <c r="P11" s="13">
        <f t="shared" si="0"/>
        <v>29.785714285714285</v>
      </c>
      <c r="Q11" s="12">
        <f t="shared" si="1"/>
        <v>32</v>
      </c>
    </row>
    <row r="12" spans="1:18" ht="19.05" customHeight="1">
      <c r="A12" s="7">
        <v>8</v>
      </c>
      <c r="B12" s="8" t="s">
        <v>12</v>
      </c>
      <c r="C12" s="12">
        <v>110</v>
      </c>
      <c r="D12" s="12">
        <v>37</v>
      </c>
      <c r="E12" s="12">
        <v>37</v>
      </c>
      <c r="F12" s="12">
        <v>38</v>
      </c>
      <c r="G12" s="12">
        <v>140</v>
      </c>
      <c r="H12" s="12">
        <v>8</v>
      </c>
      <c r="I12" s="12">
        <v>36</v>
      </c>
      <c r="J12" s="12">
        <v>37</v>
      </c>
      <c r="K12" s="12">
        <v>25</v>
      </c>
      <c r="L12" s="12">
        <v>83</v>
      </c>
      <c r="M12" s="12">
        <v>37</v>
      </c>
      <c r="N12" s="12">
        <v>47</v>
      </c>
      <c r="O12" s="12">
        <f t="shared" si="2"/>
        <v>635</v>
      </c>
      <c r="P12" s="13">
        <f t="shared" si="0"/>
        <v>45.357142857142854</v>
      </c>
      <c r="Q12" s="12">
        <f t="shared" si="1"/>
        <v>3</v>
      </c>
    </row>
    <row r="13" spans="1:18" ht="19.05" customHeight="1">
      <c r="A13" s="7">
        <v>9</v>
      </c>
      <c r="B13" s="8" t="s">
        <v>13</v>
      </c>
      <c r="C13" s="12">
        <v>90</v>
      </c>
      <c r="D13" s="12">
        <v>34</v>
      </c>
      <c r="E13" s="12">
        <v>18</v>
      </c>
      <c r="F13" s="12">
        <v>38</v>
      </c>
      <c r="G13" s="12">
        <v>100</v>
      </c>
      <c r="H13" s="12">
        <v>5</v>
      </c>
      <c r="I13" s="12">
        <v>30</v>
      </c>
      <c r="J13" s="12">
        <v>38</v>
      </c>
      <c r="K13" s="12">
        <v>22</v>
      </c>
      <c r="L13" s="12">
        <v>47</v>
      </c>
      <c r="M13" s="12">
        <v>37</v>
      </c>
      <c r="N13" s="12">
        <v>47</v>
      </c>
      <c r="O13" s="12">
        <f t="shared" si="2"/>
        <v>506</v>
      </c>
      <c r="P13" s="13">
        <f t="shared" si="0"/>
        <v>36.142857142857146</v>
      </c>
      <c r="Q13" s="12">
        <f t="shared" si="1"/>
        <v>23</v>
      </c>
    </row>
    <row r="14" spans="1:18" ht="19.05" customHeight="1">
      <c r="A14" s="7">
        <v>10</v>
      </c>
      <c r="B14" s="8" t="s">
        <v>14</v>
      </c>
      <c r="C14" s="12">
        <v>100</v>
      </c>
      <c r="D14" s="12">
        <v>34</v>
      </c>
      <c r="E14" s="12">
        <v>37</v>
      </c>
      <c r="F14" s="12">
        <v>38</v>
      </c>
      <c r="G14" s="12">
        <v>100</v>
      </c>
      <c r="H14" s="12">
        <v>0</v>
      </c>
      <c r="I14" s="12">
        <v>36</v>
      </c>
      <c r="J14" s="12">
        <v>38</v>
      </c>
      <c r="K14" s="12">
        <v>24</v>
      </c>
      <c r="L14" s="12">
        <v>76</v>
      </c>
      <c r="M14" s="12">
        <v>37</v>
      </c>
      <c r="N14" s="12">
        <v>47</v>
      </c>
      <c r="O14" s="12">
        <f t="shared" si="2"/>
        <v>567</v>
      </c>
      <c r="P14" s="13">
        <f t="shared" si="0"/>
        <v>40.5</v>
      </c>
      <c r="Q14" s="12">
        <f t="shared" si="1"/>
        <v>15</v>
      </c>
    </row>
    <row r="15" spans="1:18" ht="19.05" customHeight="1">
      <c r="A15" s="7">
        <v>11</v>
      </c>
      <c r="B15" s="8" t="s">
        <v>15</v>
      </c>
      <c r="C15" s="12">
        <v>100</v>
      </c>
      <c r="D15" s="12">
        <v>37</v>
      </c>
      <c r="E15" s="12">
        <v>37</v>
      </c>
      <c r="F15" s="12">
        <v>34</v>
      </c>
      <c r="G15" s="12">
        <v>30</v>
      </c>
      <c r="H15" s="12">
        <v>28</v>
      </c>
      <c r="I15" s="12">
        <v>12</v>
      </c>
      <c r="J15" s="12">
        <v>38</v>
      </c>
      <c r="K15" s="12">
        <v>25</v>
      </c>
      <c r="L15" s="12">
        <v>60</v>
      </c>
      <c r="M15" s="12">
        <v>33</v>
      </c>
      <c r="N15" s="12">
        <v>0</v>
      </c>
      <c r="O15" s="12">
        <f t="shared" si="2"/>
        <v>434</v>
      </c>
      <c r="P15" s="13">
        <f t="shared" si="0"/>
        <v>31</v>
      </c>
      <c r="Q15" s="12">
        <f t="shared" si="1"/>
        <v>28</v>
      </c>
    </row>
    <row r="16" spans="1:18" ht="19.05" customHeight="1">
      <c r="A16" s="7">
        <v>12</v>
      </c>
      <c r="B16" s="8" t="s">
        <v>74</v>
      </c>
      <c r="C16" s="12">
        <v>110</v>
      </c>
      <c r="D16" s="12">
        <v>36</v>
      </c>
      <c r="E16" s="12">
        <v>37</v>
      </c>
      <c r="F16" s="12">
        <v>38</v>
      </c>
      <c r="G16" s="12">
        <v>100</v>
      </c>
      <c r="H16" s="12">
        <v>5</v>
      </c>
      <c r="I16" s="12">
        <v>35</v>
      </c>
      <c r="J16" s="12">
        <v>37</v>
      </c>
      <c r="K16" s="12">
        <v>24</v>
      </c>
      <c r="L16" s="12">
        <v>90</v>
      </c>
      <c r="M16" s="12">
        <v>37</v>
      </c>
      <c r="N16" s="12">
        <v>46</v>
      </c>
      <c r="O16" s="12">
        <f t="shared" si="2"/>
        <v>595</v>
      </c>
      <c r="P16" s="13">
        <f t="shared" si="0"/>
        <v>42.5</v>
      </c>
      <c r="Q16" s="12">
        <f t="shared" si="1"/>
        <v>11</v>
      </c>
    </row>
    <row r="17" spans="1:17" ht="19.05" customHeight="1">
      <c r="A17" s="7">
        <v>13</v>
      </c>
      <c r="B17" s="8" t="s">
        <v>16</v>
      </c>
      <c r="C17" s="12">
        <v>100</v>
      </c>
      <c r="D17" s="12">
        <v>35</v>
      </c>
      <c r="E17" s="12">
        <v>37</v>
      </c>
      <c r="F17" s="12">
        <v>34</v>
      </c>
      <c r="G17" s="12">
        <v>20</v>
      </c>
      <c r="H17" s="12">
        <v>0</v>
      </c>
      <c r="I17" s="12">
        <v>16</v>
      </c>
      <c r="J17" s="12">
        <v>36</v>
      </c>
      <c r="K17" s="12">
        <v>24</v>
      </c>
      <c r="L17" s="12">
        <v>47</v>
      </c>
      <c r="M17" s="12">
        <v>33</v>
      </c>
      <c r="N17" s="12">
        <v>47</v>
      </c>
      <c r="O17" s="12">
        <f t="shared" si="2"/>
        <v>429</v>
      </c>
      <c r="P17" s="13">
        <f t="shared" si="0"/>
        <v>30.642857142857142</v>
      </c>
      <c r="Q17" s="12">
        <f t="shared" si="1"/>
        <v>30</v>
      </c>
    </row>
    <row r="18" spans="1:17" ht="19.05" customHeight="1">
      <c r="A18" s="7">
        <v>14</v>
      </c>
      <c r="B18" s="8" t="s">
        <v>17</v>
      </c>
      <c r="C18" s="12">
        <v>90</v>
      </c>
      <c r="D18" s="12">
        <v>34</v>
      </c>
      <c r="E18" s="12">
        <v>22</v>
      </c>
      <c r="F18" s="12">
        <v>34</v>
      </c>
      <c r="G18" s="12">
        <v>10</v>
      </c>
      <c r="H18" s="12">
        <v>7</v>
      </c>
      <c r="I18" s="12">
        <v>32</v>
      </c>
      <c r="J18" s="12">
        <v>37</v>
      </c>
      <c r="K18" s="12">
        <v>22</v>
      </c>
      <c r="L18" s="12">
        <v>68</v>
      </c>
      <c r="M18" s="12">
        <v>33</v>
      </c>
      <c r="N18" s="12">
        <v>0</v>
      </c>
      <c r="O18" s="12">
        <f t="shared" si="2"/>
        <v>389</v>
      </c>
      <c r="P18" s="13">
        <f t="shared" si="0"/>
        <v>27.785714285714285</v>
      </c>
      <c r="Q18" s="12">
        <f t="shared" si="1"/>
        <v>38</v>
      </c>
    </row>
    <row r="19" spans="1:17" ht="19.05" customHeight="1">
      <c r="A19" s="7">
        <v>15</v>
      </c>
      <c r="B19" s="8" t="s">
        <v>21</v>
      </c>
      <c r="C19" s="12">
        <v>120</v>
      </c>
      <c r="D19" s="12">
        <v>36</v>
      </c>
      <c r="E19" s="12">
        <v>22</v>
      </c>
      <c r="F19" s="12">
        <v>34</v>
      </c>
      <c r="G19" s="12">
        <v>20</v>
      </c>
      <c r="H19" s="12">
        <v>7</v>
      </c>
      <c r="I19" s="12">
        <v>36</v>
      </c>
      <c r="J19" s="12">
        <v>36</v>
      </c>
      <c r="K19" s="12">
        <v>23</v>
      </c>
      <c r="L19" s="12">
        <v>68</v>
      </c>
      <c r="M19" s="12">
        <v>33</v>
      </c>
      <c r="N19" s="12">
        <v>44</v>
      </c>
      <c r="O19" s="12">
        <f t="shared" si="2"/>
        <v>479</v>
      </c>
      <c r="P19" s="13">
        <f t="shared" si="0"/>
        <v>34.214285714285715</v>
      </c>
      <c r="Q19" s="12">
        <f t="shared" si="1"/>
        <v>26</v>
      </c>
    </row>
    <row r="20" spans="1:17" ht="19.05" customHeight="1">
      <c r="A20" s="7">
        <v>16</v>
      </c>
      <c r="B20" s="8" t="s">
        <v>18</v>
      </c>
      <c r="C20" s="12">
        <v>100</v>
      </c>
      <c r="D20" s="12">
        <v>36</v>
      </c>
      <c r="E20" s="12">
        <v>37</v>
      </c>
      <c r="F20" s="12">
        <v>38</v>
      </c>
      <c r="G20" s="12">
        <v>120</v>
      </c>
      <c r="H20" s="12">
        <v>0</v>
      </c>
      <c r="I20" s="12">
        <v>36</v>
      </c>
      <c r="J20" s="12">
        <v>38</v>
      </c>
      <c r="K20" s="12">
        <v>25</v>
      </c>
      <c r="L20" s="12">
        <v>100</v>
      </c>
      <c r="M20" s="12">
        <v>37</v>
      </c>
      <c r="N20" s="12">
        <v>47</v>
      </c>
      <c r="O20" s="12">
        <f t="shared" si="2"/>
        <v>614</v>
      </c>
      <c r="P20" s="13">
        <f t="shared" si="0"/>
        <v>43.857142857142854</v>
      </c>
      <c r="Q20" s="12">
        <f t="shared" si="1"/>
        <v>6</v>
      </c>
    </row>
    <row r="21" spans="1:17" ht="19.05" customHeight="1">
      <c r="A21" s="7">
        <v>17</v>
      </c>
      <c r="B21" s="8" t="s">
        <v>19</v>
      </c>
      <c r="C21" s="12">
        <v>100</v>
      </c>
      <c r="D21" s="12">
        <v>35</v>
      </c>
      <c r="E21" s="12">
        <v>37</v>
      </c>
      <c r="F21" s="12">
        <v>38</v>
      </c>
      <c r="G21" s="12">
        <v>146</v>
      </c>
      <c r="H21" s="12">
        <v>17</v>
      </c>
      <c r="I21" s="12">
        <v>18</v>
      </c>
      <c r="J21" s="12">
        <v>38</v>
      </c>
      <c r="K21" s="12">
        <v>25</v>
      </c>
      <c r="L21" s="12">
        <v>98</v>
      </c>
      <c r="M21" s="12">
        <v>37</v>
      </c>
      <c r="N21" s="12">
        <v>47</v>
      </c>
      <c r="O21" s="12">
        <f t="shared" si="2"/>
        <v>636</v>
      </c>
      <c r="P21" s="13">
        <f t="shared" si="0"/>
        <v>45.428571428571431</v>
      </c>
      <c r="Q21" s="12">
        <f t="shared" si="1"/>
        <v>2</v>
      </c>
    </row>
    <row r="22" spans="1:17" ht="19.05" customHeight="1">
      <c r="A22" s="7">
        <v>18</v>
      </c>
      <c r="B22" s="8" t="s">
        <v>20</v>
      </c>
      <c r="C22" s="12">
        <v>110</v>
      </c>
      <c r="D22" s="12">
        <v>35</v>
      </c>
      <c r="E22" s="12">
        <v>0</v>
      </c>
      <c r="F22" s="12">
        <v>34</v>
      </c>
      <c r="G22" s="12">
        <v>20</v>
      </c>
      <c r="H22" s="12">
        <v>12</v>
      </c>
      <c r="I22" s="12">
        <v>36</v>
      </c>
      <c r="J22" s="12">
        <v>37</v>
      </c>
      <c r="K22" s="12">
        <v>25</v>
      </c>
      <c r="L22" s="12">
        <v>39</v>
      </c>
      <c r="M22" s="12">
        <v>33</v>
      </c>
      <c r="N22" s="12">
        <v>46</v>
      </c>
      <c r="O22" s="12">
        <f t="shared" si="2"/>
        <v>427</v>
      </c>
      <c r="P22" s="13">
        <f t="shared" si="0"/>
        <v>30.5</v>
      </c>
      <c r="Q22" s="12">
        <f t="shared" si="1"/>
        <v>31</v>
      </c>
    </row>
    <row r="23" spans="1:17" ht="19.05" customHeight="1">
      <c r="A23" s="7">
        <v>19</v>
      </c>
      <c r="B23" s="8" t="s">
        <v>22</v>
      </c>
      <c r="C23" s="12">
        <v>90</v>
      </c>
      <c r="D23" s="12">
        <v>0</v>
      </c>
      <c r="E23" s="12">
        <v>0</v>
      </c>
      <c r="F23" s="12">
        <v>38</v>
      </c>
      <c r="G23" s="12">
        <v>100</v>
      </c>
      <c r="H23" s="12">
        <v>0</v>
      </c>
      <c r="I23" s="12">
        <v>10</v>
      </c>
      <c r="J23" s="12">
        <v>37</v>
      </c>
      <c r="K23" s="12">
        <v>0</v>
      </c>
      <c r="L23" s="12">
        <v>88</v>
      </c>
      <c r="M23" s="12">
        <v>37</v>
      </c>
      <c r="N23" s="12">
        <v>46</v>
      </c>
      <c r="O23" s="12">
        <f t="shared" si="2"/>
        <v>446</v>
      </c>
      <c r="P23" s="13">
        <f t="shared" si="0"/>
        <v>31.857142857142858</v>
      </c>
      <c r="Q23" s="12">
        <f t="shared" si="1"/>
        <v>27</v>
      </c>
    </row>
    <row r="24" spans="1:17" ht="19.05" customHeight="1">
      <c r="A24" s="7">
        <v>20</v>
      </c>
      <c r="B24" s="8" t="s">
        <v>23</v>
      </c>
      <c r="C24" s="12">
        <v>100</v>
      </c>
      <c r="D24" s="12">
        <v>35</v>
      </c>
      <c r="E24" s="12">
        <v>36</v>
      </c>
      <c r="F24" s="12">
        <v>38</v>
      </c>
      <c r="G24" s="12">
        <v>120</v>
      </c>
      <c r="H24" s="12">
        <v>8</v>
      </c>
      <c r="I24" s="12">
        <v>33</v>
      </c>
      <c r="J24" s="12">
        <v>36</v>
      </c>
      <c r="K24" s="12">
        <v>24</v>
      </c>
      <c r="L24" s="12">
        <v>100</v>
      </c>
      <c r="M24" s="12">
        <v>37</v>
      </c>
      <c r="N24" s="12">
        <v>47</v>
      </c>
      <c r="O24" s="12">
        <f t="shared" si="2"/>
        <v>614</v>
      </c>
      <c r="P24" s="13">
        <f t="shared" si="0"/>
        <v>43.857142857142854</v>
      </c>
      <c r="Q24" s="12">
        <f t="shared" si="1"/>
        <v>6</v>
      </c>
    </row>
    <row r="25" spans="1:17" ht="19.05" customHeight="1">
      <c r="A25" s="7">
        <v>21</v>
      </c>
      <c r="B25" s="8" t="s">
        <v>24</v>
      </c>
      <c r="C25" s="12">
        <v>100</v>
      </c>
      <c r="D25" s="12">
        <v>35</v>
      </c>
      <c r="E25" s="12">
        <v>36</v>
      </c>
      <c r="F25" s="12">
        <v>38</v>
      </c>
      <c r="G25" s="12">
        <v>120</v>
      </c>
      <c r="H25" s="12">
        <v>0</v>
      </c>
      <c r="I25" s="12">
        <v>35</v>
      </c>
      <c r="J25" s="12">
        <v>38</v>
      </c>
      <c r="K25" s="12">
        <v>25</v>
      </c>
      <c r="L25" s="12">
        <v>80</v>
      </c>
      <c r="M25" s="12">
        <v>37</v>
      </c>
      <c r="N25" s="12">
        <v>47</v>
      </c>
      <c r="O25" s="12">
        <f t="shared" si="2"/>
        <v>591</v>
      </c>
      <c r="P25" s="13">
        <f t="shared" si="0"/>
        <v>42.214285714285715</v>
      </c>
      <c r="Q25" s="12">
        <f t="shared" si="1"/>
        <v>12</v>
      </c>
    </row>
    <row r="26" spans="1:17" ht="19.05" customHeight="1">
      <c r="A26" s="7">
        <v>22</v>
      </c>
      <c r="B26" s="8" t="s">
        <v>25</v>
      </c>
      <c r="C26" s="12">
        <v>100</v>
      </c>
      <c r="D26" s="12">
        <v>35</v>
      </c>
      <c r="E26" s="12">
        <v>34</v>
      </c>
      <c r="F26" s="12">
        <v>34</v>
      </c>
      <c r="G26" s="12">
        <v>10</v>
      </c>
      <c r="H26" s="12">
        <v>0</v>
      </c>
      <c r="I26" s="12">
        <v>10</v>
      </c>
      <c r="J26" s="12">
        <v>37</v>
      </c>
      <c r="K26" s="12">
        <v>25</v>
      </c>
      <c r="L26" s="12">
        <v>65</v>
      </c>
      <c r="M26" s="12">
        <v>33</v>
      </c>
      <c r="N26" s="12">
        <v>47</v>
      </c>
      <c r="O26" s="12">
        <f t="shared" si="2"/>
        <v>430</v>
      </c>
      <c r="P26" s="13">
        <f t="shared" si="0"/>
        <v>30.714285714285715</v>
      </c>
      <c r="Q26" s="12">
        <f t="shared" si="1"/>
        <v>29</v>
      </c>
    </row>
    <row r="27" spans="1:17" ht="19.05" customHeight="1">
      <c r="A27" s="7">
        <v>23</v>
      </c>
      <c r="B27" s="8" t="s">
        <v>26</v>
      </c>
      <c r="C27" s="12">
        <v>100</v>
      </c>
      <c r="D27" s="12">
        <v>35</v>
      </c>
      <c r="E27" s="12">
        <v>37</v>
      </c>
      <c r="F27" s="12">
        <v>38</v>
      </c>
      <c r="G27" s="12">
        <v>148</v>
      </c>
      <c r="H27" s="12">
        <v>15</v>
      </c>
      <c r="I27" s="12">
        <v>18</v>
      </c>
      <c r="J27" s="12">
        <v>38</v>
      </c>
      <c r="K27" s="12">
        <v>25</v>
      </c>
      <c r="L27" s="12">
        <v>90</v>
      </c>
      <c r="M27" s="12">
        <v>37</v>
      </c>
      <c r="N27" s="12">
        <v>47</v>
      </c>
      <c r="O27" s="12">
        <f t="shared" si="2"/>
        <v>628</v>
      </c>
      <c r="P27" s="13">
        <f t="shared" si="0"/>
        <v>44.857142857142854</v>
      </c>
      <c r="Q27" s="12">
        <f t="shared" si="1"/>
        <v>5</v>
      </c>
    </row>
    <row r="28" spans="1:17" ht="19.05" customHeight="1">
      <c r="A28" s="7">
        <v>24</v>
      </c>
      <c r="B28" s="8" t="s">
        <v>27</v>
      </c>
      <c r="C28" s="12">
        <v>100</v>
      </c>
      <c r="D28" s="12">
        <v>35</v>
      </c>
      <c r="E28" s="12">
        <v>36</v>
      </c>
      <c r="F28" s="12">
        <v>38</v>
      </c>
      <c r="G28" s="12">
        <v>110</v>
      </c>
      <c r="H28" s="12">
        <v>0</v>
      </c>
      <c r="I28" s="12">
        <v>0</v>
      </c>
      <c r="J28" s="12">
        <v>36</v>
      </c>
      <c r="K28" s="12">
        <v>25</v>
      </c>
      <c r="L28" s="12">
        <v>100</v>
      </c>
      <c r="M28" s="12">
        <v>37</v>
      </c>
      <c r="N28" s="12">
        <v>47</v>
      </c>
      <c r="O28" s="12">
        <f t="shared" si="2"/>
        <v>564</v>
      </c>
      <c r="P28" s="13">
        <f t="shared" si="0"/>
        <v>40.285714285714285</v>
      </c>
      <c r="Q28" s="12">
        <f t="shared" si="1"/>
        <v>16</v>
      </c>
    </row>
    <row r="29" spans="1:17" ht="19.05" customHeight="1">
      <c r="A29" s="7">
        <v>25</v>
      </c>
      <c r="B29" s="8" t="s">
        <v>28</v>
      </c>
      <c r="C29" s="12">
        <v>100</v>
      </c>
      <c r="D29" s="12">
        <v>35</v>
      </c>
      <c r="E29" s="12">
        <v>36</v>
      </c>
      <c r="F29" s="12">
        <v>38</v>
      </c>
      <c r="G29" s="12">
        <v>100</v>
      </c>
      <c r="H29" s="12">
        <v>0</v>
      </c>
      <c r="I29" s="12">
        <v>36</v>
      </c>
      <c r="J29" s="12">
        <v>37</v>
      </c>
      <c r="K29" s="12">
        <v>25</v>
      </c>
      <c r="L29" s="12">
        <v>46</v>
      </c>
      <c r="M29" s="12">
        <v>37</v>
      </c>
      <c r="N29" s="12">
        <v>47</v>
      </c>
      <c r="O29" s="12">
        <f t="shared" si="2"/>
        <v>537</v>
      </c>
      <c r="P29" s="13">
        <f t="shared" si="0"/>
        <v>38.357142857142854</v>
      </c>
      <c r="Q29" s="12">
        <f t="shared" si="1"/>
        <v>19</v>
      </c>
    </row>
    <row r="30" spans="1:17" ht="19.05" customHeight="1">
      <c r="A30" s="7">
        <v>26</v>
      </c>
      <c r="B30" s="8" t="s">
        <v>29</v>
      </c>
      <c r="C30" s="12">
        <v>100</v>
      </c>
      <c r="D30" s="12">
        <v>35</v>
      </c>
      <c r="E30" s="12">
        <v>36</v>
      </c>
      <c r="F30" s="12">
        <v>38</v>
      </c>
      <c r="G30" s="12">
        <v>135</v>
      </c>
      <c r="H30" s="12">
        <v>15</v>
      </c>
      <c r="I30" s="12">
        <v>36</v>
      </c>
      <c r="J30" s="12">
        <v>37</v>
      </c>
      <c r="K30" s="12">
        <v>24</v>
      </c>
      <c r="L30" s="12">
        <v>100</v>
      </c>
      <c r="M30" s="12">
        <v>37</v>
      </c>
      <c r="N30" s="12">
        <v>48</v>
      </c>
      <c r="O30" s="12">
        <f t="shared" si="2"/>
        <v>641</v>
      </c>
      <c r="P30" s="13">
        <f t="shared" si="0"/>
        <v>45.785714285714285</v>
      </c>
      <c r="Q30" s="12">
        <f t="shared" si="1"/>
        <v>1</v>
      </c>
    </row>
    <row r="31" spans="1:17" ht="19.05" customHeight="1">
      <c r="A31" s="7">
        <v>27</v>
      </c>
      <c r="B31" s="8" t="s">
        <v>30</v>
      </c>
      <c r="C31" s="12">
        <v>90</v>
      </c>
      <c r="D31" s="12">
        <v>33</v>
      </c>
      <c r="E31" s="12">
        <v>19</v>
      </c>
      <c r="F31" s="12">
        <v>34</v>
      </c>
      <c r="G31" s="12">
        <v>10</v>
      </c>
      <c r="H31" s="12">
        <v>0</v>
      </c>
      <c r="I31" s="12">
        <v>0</v>
      </c>
      <c r="J31" s="12">
        <v>0</v>
      </c>
      <c r="K31" s="12">
        <v>13</v>
      </c>
      <c r="L31" s="12">
        <v>0</v>
      </c>
      <c r="M31" s="12">
        <v>33</v>
      </c>
      <c r="N31" s="12">
        <v>47</v>
      </c>
      <c r="O31" s="12">
        <f t="shared" si="2"/>
        <v>279</v>
      </c>
      <c r="P31" s="13">
        <f t="shared" si="0"/>
        <v>19.928571428571427</v>
      </c>
      <c r="Q31" s="12">
        <f t="shared" si="1"/>
        <v>47</v>
      </c>
    </row>
    <row r="32" spans="1:17" ht="19.05" customHeight="1">
      <c r="A32" s="7">
        <v>28</v>
      </c>
      <c r="B32" s="8" t="s">
        <v>31</v>
      </c>
      <c r="C32" s="12">
        <v>100</v>
      </c>
      <c r="D32" s="12">
        <v>35</v>
      </c>
      <c r="E32" s="12">
        <v>34</v>
      </c>
      <c r="F32" s="12">
        <v>38</v>
      </c>
      <c r="G32" s="12">
        <v>100</v>
      </c>
      <c r="H32" s="12">
        <v>0</v>
      </c>
      <c r="I32" s="12">
        <v>32</v>
      </c>
      <c r="J32" s="12">
        <v>38</v>
      </c>
      <c r="K32" s="12">
        <v>20</v>
      </c>
      <c r="L32" s="12">
        <v>43</v>
      </c>
      <c r="M32" s="12">
        <v>37</v>
      </c>
      <c r="N32" s="12">
        <v>47</v>
      </c>
      <c r="O32" s="12">
        <f t="shared" si="2"/>
        <v>524</v>
      </c>
      <c r="P32" s="13">
        <f t="shared" si="0"/>
        <v>37.428571428571431</v>
      </c>
      <c r="Q32" s="12">
        <f t="shared" si="1"/>
        <v>21</v>
      </c>
    </row>
    <row r="33" spans="1:17" ht="19.05" customHeight="1">
      <c r="A33" s="7">
        <v>29</v>
      </c>
      <c r="B33" s="8" t="s">
        <v>32</v>
      </c>
      <c r="C33" s="12">
        <v>100</v>
      </c>
      <c r="D33" s="12">
        <v>0</v>
      </c>
      <c r="E33" s="12">
        <v>36</v>
      </c>
      <c r="F33" s="12">
        <v>34</v>
      </c>
      <c r="G33" s="12">
        <v>10</v>
      </c>
      <c r="H33" s="12">
        <v>0</v>
      </c>
      <c r="I33" s="12">
        <v>0</v>
      </c>
      <c r="J33" s="12">
        <v>38</v>
      </c>
      <c r="K33" s="12">
        <v>0</v>
      </c>
      <c r="L33" s="12">
        <v>0</v>
      </c>
      <c r="M33" s="12">
        <v>33</v>
      </c>
      <c r="N33" s="12">
        <v>47</v>
      </c>
      <c r="O33" s="12">
        <f t="shared" si="2"/>
        <v>298</v>
      </c>
      <c r="P33" s="13">
        <f t="shared" si="0"/>
        <v>21.285714285714285</v>
      </c>
      <c r="Q33" s="12">
        <f t="shared" si="1"/>
        <v>45</v>
      </c>
    </row>
    <row r="34" spans="1:17" ht="19.05" customHeight="1">
      <c r="A34" s="7">
        <v>30</v>
      </c>
      <c r="B34" s="8" t="s">
        <v>33</v>
      </c>
      <c r="C34" s="12">
        <v>0</v>
      </c>
      <c r="D34" s="12">
        <v>36</v>
      </c>
      <c r="E34" s="12">
        <v>0</v>
      </c>
      <c r="F34" s="12">
        <v>34</v>
      </c>
      <c r="G34" s="12">
        <v>0</v>
      </c>
      <c r="H34" s="12">
        <v>0</v>
      </c>
      <c r="I34" s="12">
        <v>10</v>
      </c>
      <c r="J34" s="12">
        <v>38</v>
      </c>
      <c r="K34" s="12">
        <v>21</v>
      </c>
      <c r="L34" s="12">
        <v>39</v>
      </c>
      <c r="M34" s="12">
        <v>33</v>
      </c>
      <c r="N34" s="12">
        <v>0</v>
      </c>
      <c r="O34" s="12">
        <f t="shared" si="2"/>
        <v>211</v>
      </c>
      <c r="P34" s="13">
        <f t="shared" si="0"/>
        <v>15.071428571428571</v>
      </c>
      <c r="Q34" s="12">
        <f t="shared" si="1"/>
        <v>48</v>
      </c>
    </row>
    <row r="35" spans="1:17" ht="19.05" customHeight="1">
      <c r="A35" s="7">
        <v>31</v>
      </c>
      <c r="B35" s="8" t="s">
        <v>34</v>
      </c>
      <c r="C35" s="12">
        <v>110</v>
      </c>
      <c r="D35" s="12">
        <v>35</v>
      </c>
      <c r="E35" s="12">
        <v>0</v>
      </c>
      <c r="F35" s="12">
        <v>34</v>
      </c>
      <c r="G35" s="12">
        <v>10</v>
      </c>
      <c r="H35" s="12">
        <v>0</v>
      </c>
      <c r="I35" s="12">
        <v>10</v>
      </c>
      <c r="J35" s="12">
        <v>37</v>
      </c>
      <c r="K35" s="12">
        <v>23</v>
      </c>
      <c r="L35" s="12">
        <v>39</v>
      </c>
      <c r="M35" s="12">
        <v>33</v>
      </c>
      <c r="N35" s="12">
        <v>0</v>
      </c>
      <c r="O35" s="12">
        <f t="shared" si="2"/>
        <v>331</v>
      </c>
      <c r="P35" s="13">
        <f t="shared" si="0"/>
        <v>23.642857142857142</v>
      </c>
      <c r="Q35" s="12">
        <f t="shared" si="1"/>
        <v>44</v>
      </c>
    </row>
    <row r="36" spans="1:17" ht="19.05" customHeight="1">
      <c r="A36" s="7">
        <v>32</v>
      </c>
      <c r="B36" s="8" t="s">
        <v>35</v>
      </c>
      <c r="C36" s="12">
        <v>100</v>
      </c>
      <c r="D36" s="12">
        <v>0</v>
      </c>
      <c r="E36" s="12">
        <v>35</v>
      </c>
      <c r="F36" s="12">
        <v>38</v>
      </c>
      <c r="G36" s="12">
        <v>100</v>
      </c>
      <c r="H36" s="12">
        <v>0</v>
      </c>
      <c r="I36" s="12">
        <v>0</v>
      </c>
      <c r="J36" s="12">
        <v>38</v>
      </c>
      <c r="K36" s="12">
        <v>0</v>
      </c>
      <c r="L36" s="12">
        <v>0</v>
      </c>
      <c r="M36" s="12">
        <v>37</v>
      </c>
      <c r="N36" s="12">
        <v>47</v>
      </c>
      <c r="O36" s="12">
        <f t="shared" si="2"/>
        <v>395</v>
      </c>
      <c r="P36" s="13">
        <f t="shared" si="0"/>
        <v>28.214285714285715</v>
      </c>
      <c r="Q36" s="12">
        <f t="shared" si="1"/>
        <v>37</v>
      </c>
    </row>
    <row r="37" spans="1:17" ht="19.05" customHeight="1">
      <c r="A37" s="7">
        <v>33</v>
      </c>
      <c r="B37" s="8" t="s">
        <v>36</v>
      </c>
      <c r="C37" s="12">
        <v>100</v>
      </c>
      <c r="D37" s="12">
        <v>36</v>
      </c>
      <c r="E37" s="12">
        <v>37</v>
      </c>
      <c r="F37" s="12">
        <v>38</v>
      </c>
      <c r="G37" s="12">
        <v>120</v>
      </c>
      <c r="H37" s="12">
        <v>15</v>
      </c>
      <c r="I37" s="12">
        <v>18</v>
      </c>
      <c r="J37" s="12">
        <v>38</v>
      </c>
      <c r="K37" s="12">
        <v>25</v>
      </c>
      <c r="L37" s="12">
        <v>94</v>
      </c>
      <c r="M37" s="12">
        <v>37</v>
      </c>
      <c r="N37" s="12">
        <v>47</v>
      </c>
      <c r="O37" s="12">
        <f t="shared" si="2"/>
        <v>605</v>
      </c>
      <c r="P37" s="13">
        <f t="shared" si="0"/>
        <v>43.214285714285715</v>
      </c>
      <c r="Q37" s="12">
        <f t="shared" si="1"/>
        <v>8</v>
      </c>
    </row>
    <row r="38" spans="1:17" ht="19.05" customHeight="1">
      <c r="A38" s="7">
        <v>34</v>
      </c>
      <c r="B38" s="8" t="s">
        <v>37</v>
      </c>
      <c r="C38" s="12">
        <v>100</v>
      </c>
      <c r="D38" s="12">
        <v>36</v>
      </c>
      <c r="E38" s="12">
        <v>22</v>
      </c>
      <c r="F38" s="12">
        <v>34</v>
      </c>
      <c r="G38" s="12">
        <v>30</v>
      </c>
      <c r="H38" s="12">
        <v>8</v>
      </c>
      <c r="I38" s="12">
        <v>16</v>
      </c>
      <c r="J38" s="12">
        <v>38</v>
      </c>
      <c r="K38" s="12">
        <v>15</v>
      </c>
      <c r="L38" s="12">
        <v>56</v>
      </c>
      <c r="M38" s="12">
        <v>33</v>
      </c>
      <c r="N38" s="12">
        <v>0</v>
      </c>
      <c r="O38" s="12">
        <f t="shared" si="2"/>
        <v>388</v>
      </c>
      <c r="P38" s="13">
        <f t="shared" si="0"/>
        <v>27.714285714285715</v>
      </c>
      <c r="Q38" s="12">
        <f t="shared" si="1"/>
        <v>39</v>
      </c>
    </row>
    <row r="39" spans="1:17" ht="19.05" customHeight="1">
      <c r="A39" s="7">
        <v>35</v>
      </c>
      <c r="B39" s="8" t="s">
        <v>38</v>
      </c>
      <c r="C39" s="12">
        <v>100</v>
      </c>
      <c r="D39" s="12">
        <v>36</v>
      </c>
      <c r="E39" s="12">
        <v>19</v>
      </c>
      <c r="F39" s="12">
        <v>38</v>
      </c>
      <c r="G39" s="12">
        <v>100</v>
      </c>
      <c r="H39" s="12">
        <v>0</v>
      </c>
      <c r="I39" s="12">
        <v>13</v>
      </c>
      <c r="J39" s="12">
        <v>38</v>
      </c>
      <c r="K39" s="12">
        <v>21</v>
      </c>
      <c r="L39" s="12">
        <v>49</v>
      </c>
      <c r="M39" s="12">
        <v>37</v>
      </c>
      <c r="N39" s="12">
        <v>44</v>
      </c>
      <c r="O39" s="12">
        <f t="shared" si="2"/>
        <v>495</v>
      </c>
      <c r="P39" s="13">
        <f t="shared" si="0"/>
        <v>35.357142857142854</v>
      </c>
      <c r="Q39" s="12">
        <f t="shared" si="1"/>
        <v>24</v>
      </c>
    </row>
    <row r="40" spans="1:17" ht="19.05" customHeight="1">
      <c r="A40" s="7">
        <v>36</v>
      </c>
      <c r="B40" s="8" t="s">
        <v>39</v>
      </c>
      <c r="C40" s="12">
        <v>100</v>
      </c>
      <c r="D40" s="12">
        <v>0</v>
      </c>
      <c r="E40" s="12">
        <v>0</v>
      </c>
      <c r="F40" s="12">
        <v>34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33</v>
      </c>
      <c r="N40" s="12">
        <v>0</v>
      </c>
      <c r="O40" s="12">
        <f t="shared" si="2"/>
        <v>167</v>
      </c>
      <c r="P40" s="13">
        <f t="shared" si="0"/>
        <v>11.928571428571429</v>
      </c>
      <c r="Q40" s="12">
        <f t="shared" si="1"/>
        <v>49</v>
      </c>
    </row>
    <row r="41" spans="1:17" ht="19.05" customHeight="1">
      <c r="A41" s="7">
        <v>37</v>
      </c>
      <c r="B41" s="8" t="s">
        <v>40</v>
      </c>
      <c r="C41" s="12">
        <v>100</v>
      </c>
      <c r="D41" s="12">
        <v>34</v>
      </c>
      <c r="E41" s="12">
        <v>37</v>
      </c>
      <c r="F41" s="12">
        <v>38</v>
      </c>
      <c r="G41" s="12">
        <v>100</v>
      </c>
      <c r="H41" s="12">
        <v>0</v>
      </c>
      <c r="I41" s="12">
        <v>10</v>
      </c>
      <c r="J41" s="12">
        <v>37</v>
      </c>
      <c r="K41" s="12">
        <v>23</v>
      </c>
      <c r="L41" s="12">
        <v>62</v>
      </c>
      <c r="M41" s="12">
        <v>37</v>
      </c>
      <c r="N41" s="12">
        <v>47</v>
      </c>
      <c r="O41" s="12">
        <f t="shared" si="2"/>
        <v>525</v>
      </c>
      <c r="P41" s="13">
        <f t="shared" si="0"/>
        <v>37.5</v>
      </c>
      <c r="Q41" s="12">
        <f t="shared" si="1"/>
        <v>20</v>
      </c>
    </row>
    <row r="42" spans="1:17" ht="19.05" customHeight="1">
      <c r="A42" s="7">
        <v>38</v>
      </c>
      <c r="B42" s="8" t="s">
        <v>41</v>
      </c>
      <c r="C42" s="12">
        <v>100</v>
      </c>
      <c r="D42" s="12">
        <v>36</v>
      </c>
      <c r="E42" s="12">
        <v>20</v>
      </c>
      <c r="F42" s="12">
        <v>34</v>
      </c>
      <c r="G42" s="12">
        <v>10</v>
      </c>
      <c r="H42" s="12">
        <v>0</v>
      </c>
      <c r="I42" s="12">
        <v>0</v>
      </c>
      <c r="J42" s="12">
        <v>37</v>
      </c>
      <c r="K42" s="12">
        <v>22</v>
      </c>
      <c r="L42" s="12">
        <v>73</v>
      </c>
      <c r="M42" s="12">
        <v>33</v>
      </c>
      <c r="N42" s="12">
        <v>47</v>
      </c>
      <c r="O42" s="12">
        <f t="shared" si="2"/>
        <v>412</v>
      </c>
      <c r="P42" s="13">
        <f t="shared" si="0"/>
        <v>29.428571428571427</v>
      </c>
      <c r="Q42" s="12">
        <f t="shared" si="1"/>
        <v>33</v>
      </c>
    </row>
    <row r="43" spans="1:17" ht="19.05" customHeight="1">
      <c r="A43" s="7">
        <v>39</v>
      </c>
      <c r="B43" s="8" t="s">
        <v>42</v>
      </c>
      <c r="C43" s="12">
        <v>100</v>
      </c>
      <c r="D43" s="12">
        <v>35</v>
      </c>
      <c r="E43" s="12">
        <v>34</v>
      </c>
      <c r="F43" s="12">
        <v>38</v>
      </c>
      <c r="G43" s="12">
        <v>130</v>
      </c>
      <c r="H43" s="12">
        <v>0</v>
      </c>
      <c r="I43" s="12">
        <v>30</v>
      </c>
      <c r="J43" s="12">
        <v>37</v>
      </c>
      <c r="K43" s="12">
        <v>24</v>
      </c>
      <c r="L43" s="12">
        <v>70</v>
      </c>
      <c r="M43" s="12">
        <v>37</v>
      </c>
      <c r="N43" s="12">
        <v>47</v>
      </c>
      <c r="O43" s="12">
        <f t="shared" si="2"/>
        <v>582</v>
      </c>
      <c r="P43" s="13">
        <f t="shared" si="0"/>
        <v>41.571428571428569</v>
      </c>
      <c r="Q43" s="12">
        <f t="shared" si="1"/>
        <v>14</v>
      </c>
    </row>
    <row r="44" spans="1:17" ht="19.05" customHeight="1">
      <c r="A44" s="7">
        <v>40</v>
      </c>
      <c r="B44" s="8" t="s">
        <v>43</v>
      </c>
      <c r="C44" s="12">
        <v>100</v>
      </c>
      <c r="D44" s="12">
        <v>35</v>
      </c>
      <c r="E44" s="12">
        <v>36</v>
      </c>
      <c r="F44" s="12">
        <v>38</v>
      </c>
      <c r="G44" s="12">
        <v>142</v>
      </c>
      <c r="H44" s="12">
        <v>0</v>
      </c>
      <c r="I44" s="12">
        <v>0</v>
      </c>
      <c r="J44" s="12">
        <v>38</v>
      </c>
      <c r="K44" s="12">
        <v>25</v>
      </c>
      <c r="L44" s="12">
        <v>98</v>
      </c>
      <c r="M44" s="12">
        <v>37</v>
      </c>
      <c r="N44" s="12">
        <v>47</v>
      </c>
      <c r="O44" s="12">
        <f t="shared" si="2"/>
        <v>596</v>
      </c>
      <c r="P44" s="13">
        <f t="shared" si="0"/>
        <v>42.571428571428569</v>
      </c>
      <c r="Q44" s="12">
        <f t="shared" si="1"/>
        <v>10</v>
      </c>
    </row>
    <row r="45" spans="1:17" ht="19.05" customHeight="1">
      <c r="A45" s="7">
        <v>41</v>
      </c>
      <c r="B45" s="8" t="s">
        <v>44</v>
      </c>
      <c r="C45" s="12">
        <v>100</v>
      </c>
      <c r="D45" s="12">
        <v>0</v>
      </c>
      <c r="E45" s="12">
        <v>21</v>
      </c>
      <c r="F45" s="12">
        <v>34</v>
      </c>
      <c r="G45" s="12">
        <v>20</v>
      </c>
      <c r="H45" s="12">
        <v>0</v>
      </c>
      <c r="I45" s="12">
        <v>0</v>
      </c>
      <c r="J45" s="12">
        <v>38</v>
      </c>
      <c r="K45" s="12">
        <v>0</v>
      </c>
      <c r="L45" s="12">
        <v>34</v>
      </c>
      <c r="M45" s="12">
        <v>33</v>
      </c>
      <c r="N45" s="12">
        <v>0</v>
      </c>
      <c r="O45" s="12">
        <f t="shared" si="2"/>
        <v>280</v>
      </c>
      <c r="P45" s="13">
        <f t="shared" si="0"/>
        <v>20</v>
      </c>
      <c r="Q45" s="12">
        <f t="shared" si="1"/>
        <v>46</v>
      </c>
    </row>
    <row r="46" spans="1:17" ht="19.05" customHeight="1">
      <c r="A46" s="7">
        <v>42</v>
      </c>
      <c r="B46" s="8" t="s">
        <v>45</v>
      </c>
      <c r="C46" s="12">
        <v>100</v>
      </c>
      <c r="D46" s="12">
        <v>34</v>
      </c>
      <c r="E46" s="12">
        <v>22</v>
      </c>
      <c r="F46" s="12">
        <v>38</v>
      </c>
      <c r="G46" s="12">
        <v>120</v>
      </c>
      <c r="H46" s="12">
        <v>5</v>
      </c>
      <c r="I46" s="12">
        <v>16</v>
      </c>
      <c r="J46" s="12">
        <v>38</v>
      </c>
      <c r="K46" s="12">
        <v>25</v>
      </c>
      <c r="L46" s="12">
        <v>72</v>
      </c>
      <c r="M46" s="12">
        <v>37</v>
      </c>
      <c r="N46" s="12">
        <v>47</v>
      </c>
      <c r="O46" s="12">
        <f t="shared" si="2"/>
        <v>554</v>
      </c>
      <c r="P46" s="13">
        <f t="shared" si="0"/>
        <v>39.571428571428569</v>
      </c>
      <c r="Q46" s="12">
        <f t="shared" si="1"/>
        <v>18</v>
      </c>
    </row>
    <row r="47" spans="1:17" ht="19.05" customHeight="1">
      <c r="A47" s="7">
        <v>43</v>
      </c>
      <c r="B47" s="8" t="s">
        <v>46</v>
      </c>
      <c r="C47" s="12">
        <v>100</v>
      </c>
      <c r="D47" s="12">
        <v>0</v>
      </c>
      <c r="E47" s="12">
        <v>22</v>
      </c>
      <c r="F47" s="12">
        <v>38</v>
      </c>
      <c r="G47" s="12">
        <v>75</v>
      </c>
      <c r="H47" s="12">
        <v>0</v>
      </c>
      <c r="I47" s="12">
        <v>28</v>
      </c>
      <c r="J47" s="12">
        <v>0</v>
      </c>
      <c r="K47" s="12">
        <v>0</v>
      </c>
      <c r="L47" s="12">
        <v>0</v>
      </c>
      <c r="M47" s="12">
        <v>37</v>
      </c>
      <c r="N47" s="12">
        <v>47</v>
      </c>
      <c r="O47" s="12">
        <f t="shared" si="2"/>
        <v>347</v>
      </c>
      <c r="P47" s="13">
        <f t="shared" si="0"/>
        <v>24.785714285714285</v>
      </c>
      <c r="Q47" s="12">
        <f t="shared" si="1"/>
        <v>42</v>
      </c>
    </row>
    <row r="48" spans="1:17" ht="19.05" customHeight="1">
      <c r="A48" s="7">
        <v>44</v>
      </c>
      <c r="B48" s="8" t="s">
        <v>47</v>
      </c>
      <c r="C48" s="12">
        <v>110</v>
      </c>
      <c r="D48" s="12">
        <v>36</v>
      </c>
      <c r="E48" s="12">
        <v>37</v>
      </c>
      <c r="F48" s="12">
        <v>38</v>
      </c>
      <c r="G48" s="12">
        <v>120</v>
      </c>
      <c r="H48" s="12">
        <v>0</v>
      </c>
      <c r="I48" s="12">
        <v>37</v>
      </c>
      <c r="J48" s="12">
        <v>37</v>
      </c>
      <c r="K48" s="12">
        <v>24</v>
      </c>
      <c r="L48" s="12">
        <v>67</v>
      </c>
      <c r="M48" s="12">
        <v>37</v>
      </c>
      <c r="N48" s="12">
        <v>47</v>
      </c>
      <c r="O48" s="12">
        <f t="shared" si="2"/>
        <v>590</v>
      </c>
      <c r="P48" s="13">
        <f t="shared" si="0"/>
        <v>42.142857142857146</v>
      </c>
      <c r="Q48" s="12">
        <f t="shared" si="1"/>
        <v>13</v>
      </c>
    </row>
    <row r="49" spans="1:17" ht="19.05" customHeight="1">
      <c r="A49" s="7">
        <v>45</v>
      </c>
      <c r="B49" s="8" t="s">
        <v>48</v>
      </c>
      <c r="C49" s="12">
        <v>100</v>
      </c>
      <c r="D49" s="12">
        <v>0</v>
      </c>
      <c r="E49" s="12">
        <v>0</v>
      </c>
      <c r="F49" s="12">
        <v>38</v>
      </c>
      <c r="G49" s="12">
        <v>100</v>
      </c>
      <c r="H49" s="12">
        <v>0</v>
      </c>
      <c r="I49" s="12">
        <v>10</v>
      </c>
      <c r="J49" s="12">
        <v>36</v>
      </c>
      <c r="K49" s="12">
        <v>0</v>
      </c>
      <c r="L49" s="12">
        <v>0</v>
      </c>
      <c r="M49" s="12">
        <v>37</v>
      </c>
      <c r="N49" s="12">
        <v>47</v>
      </c>
      <c r="O49" s="12">
        <f t="shared" si="2"/>
        <v>368</v>
      </c>
      <c r="P49" s="13">
        <f t="shared" si="0"/>
        <v>26.285714285714285</v>
      </c>
      <c r="Q49" s="12">
        <f t="shared" si="1"/>
        <v>40</v>
      </c>
    </row>
    <row r="50" spans="1:17" ht="19.05" customHeight="1">
      <c r="A50" s="7">
        <v>46</v>
      </c>
      <c r="B50" s="8" t="s">
        <v>49</v>
      </c>
      <c r="C50" s="12">
        <v>100</v>
      </c>
      <c r="D50" s="12">
        <v>34</v>
      </c>
      <c r="E50" s="12">
        <v>35</v>
      </c>
      <c r="F50" s="12">
        <v>38</v>
      </c>
      <c r="G50" s="12">
        <v>120</v>
      </c>
      <c r="H50" s="12">
        <v>0</v>
      </c>
      <c r="I50" s="12">
        <v>9</v>
      </c>
      <c r="J50" s="12">
        <v>37</v>
      </c>
      <c r="K50" s="12">
        <v>17</v>
      </c>
      <c r="L50" s="12">
        <v>21</v>
      </c>
      <c r="M50" s="12">
        <v>37</v>
      </c>
      <c r="N50" s="12">
        <v>46</v>
      </c>
      <c r="O50" s="12">
        <f t="shared" si="2"/>
        <v>494</v>
      </c>
      <c r="P50" s="13">
        <f t="shared" si="0"/>
        <v>35.285714285714285</v>
      </c>
      <c r="Q50" s="12">
        <f t="shared" si="1"/>
        <v>25</v>
      </c>
    </row>
    <row r="51" spans="1:17" ht="19.05" customHeight="1">
      <c r="A51" s="7">
        <v>47</v>
      </c>
      <c r="B51" s="8" t="s">
        <v>50</v>
      </c>
      <c r="C51" s="12">
        <v>0</v>
      </c>
      <c r="D51" s="12">
        <v>0</v>
      </c>
      <c r="E51" s="12">
        <v>0</v>
      </c>
      <c r="F51" s="12">
        <v>34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33</v>
      </c>
      <c r="N51" s="12">
        <v>0</v>
      </c>
      <c r="O51" s="12">
        <f t="shared" si="2"/>
        <v>67</v>
      </c>
      <c r="P51" s="13">
        <f t="shared" si="0"/>
        <v>4.7857142857142856</v>
      </c>
      <c r="Q51" s="12">
        <f t="shared" si="1"/>
        <v>50</v>
      </c>
    </row>
    <row r="52" spans="1:17" ht="19.05" customHeight="1">
      <c r="A52" s="7">
        <v>48</v>
      </c>
      <c r="B52" s="8" t="s">
        <v>51</v>
      </c>
      <c r="C52" s="12">
        <v>90</v>
      </c>
      <c r="D52" s="12">
        <v>34</v>
      </c>
      <c r="E52" s="12">
        <v>35</v>
      </c>
      <c r="F52" s="12">
        <v>38</v>
      </c>
      <c r="G52" s="12">
        <v>100</v>
      </c>
      <c r="H52" s="12">
        <v>5</v>
      </c>
      <c r="I52" s="12">
        <v>36</v>
      </c>
      <c r="J52" s="12">
        <v>37</v>
      </c>
      <c r="K52" s="12">
        <v>24</v>
      </c>
      <c r="L52" s="12">
        <v>41</v>
      </c>
      <c r="M52" s="12">
        <v>37</v>
      </c>
      <c r="N52" s="12">
        <v>47</v>
      </c>
      <c r="O52" s="12">
        <f t="shared" si="2"/>
        <v>524</v>
      </c>
      <c r="P52" s="13">
        <f t="shared" si="0"/>
        <v>37.428571428571431</v>
      </c>
      <c r="Q52" s="12">
        <f t="shared" si="1"/>
        <v>21</v>
      </c>
    </row>
    <row r="53" spans="1:17" ht="19.05" customHeight="1">
      <c r="A53" s="7">
        <v>49</v>
      </c>
      <c r="B53" s="8" t="s">
        <v>52</v>
      </c>
      <c r="C53" s="12">
        <v>100</v>
      </c>
      <c r="D53" s="12">
        <v>35</v>
      </c>
      <c r="E53" s="12">
        <v>35</v>
      </c>
      <c r="F53" s="12">
        <v>34</v>
      </c>
      <c r="G53" s="12">
        <v>30</v>
      </c>
      <c r="H53" s="12">
        <v>15</v>
      </c>
      <c r="I53" s="12">
        <v>12</v>
      </c>
      <c r="J53" s="12">
        <v>38</v>
      </c>
      <c r="K53" s="12">
        <v>24</v>
      </c>
      <c r="L53" s="12">
        <v>50</v>
      </c>
      <c r="M53" s="12">
        <v>33</v>
      </c>
      <c r="N53" s="12">
        <v>0</v>
      </c>
      <c r="O53" s="12">
        <f t="shared" si="2"/>
        <v>406</v>
      </c>
      <c r="P53" s="13">
        <f t="shared" si="0"/>
        <v>29</v>
      </c>
      <c r="Q53" s="12">
        <f t="shared" si="1"/>
        <v>34</v>
      </c>
    </row>
    <row r="54" spans="1:17" ht="19.05" customHeight="1">
      <c r="A54" s="7">
        <v>50</v>
      </c>
      <c r="B54" s="8" t="s">
        <v>53</v>
      </c>
      <c r="C54" s="12">
        <v>100</v>
      </c>
      <c r="D54" s="12">
        <v>35</v>
      </c>
      <c r="E54" s="12">
        <v>37</v>
      </c>
      <c r="F54" s="12">
        <v>38</v>
      </c>
      <c r="G54" s="12">
        <v>146</v>
      </c>
      <c r="H54" s="12">
        <v>8</v>
      </c>
      <c r="I54" s="12">
        <v>36</v>
      </c>
      <c r="J54" s="12">
        <v>37</v>
      </c>
      <c r="K54" s="12">
        <v>23</v>
      </c>
      <c r="L54" s="12">
        <v>89</v>
      </c>
      <c r="M54" s="12">
        <v>37</v>
      </c>
      <c r="N54" s="12">
        <v>47</v>
      </c>
      <c r="O54" s="12">
        <f t="shared" si="2"/>
        <v>633</v>
      </c>
      <c r="P54" s="13">
        <f t="shared" si="0"/>
        <v>45.214285714285715</v>
      </c>
      <c r="Q54" s="12">
        <f t="shared" si="1"/>
        <v>4</v>
      </c>
    </row>
    <row r="55" spans="1:17" ht="22.5" customHeight="1">
      <c r="A55" s="10" t="s">
        <v>69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 t="s">
        <v>71</v>
      </c>
      <c r="O55" s="10"/>
      <c r="P55" s="10"/>
      <c r="Q55" s="10"/>
    </row>
    <row r="56" spans="1:17" ht="22.5" customHeight="1">
      <c r="A56" s="11" t="s">
        <v>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1"/>
    </row>
    <row r="57" spans="1:17" ht="22.5" customHeight="1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</row>
    <row r="58" spans="1:17" ht="22.5" customHeight="1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</sheetData>
  <mergeCells count="1">
    <mergeCell ref="H3:J3"/>
  </mergeCells>
  <printOptions horizontalCentered="1"/>
  <pageMargins left="0.25" right="0.25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8"/>
  <sheetViews>
    <sheetView topLeftCell="A52" workbookViewId="0">
      <selection activeCell="D55" sqref="D55:E58"/>
    </sheetView>
  </sheetViews>
  <sheetFormatPr defaultRowHeight="14.25"/>
  <cols>
    <col min="1" max="1" width="6" customWidth="1"/>
    <col min="2" max="2" width="22.46484375" customWidth="1"/>
    <col min="3" max="3" width="12" customWidth="1"/>
    <col min="4" max="4" width="23.265625" customWidth="1"/>
    <col min="5" max="5" width="16.19921875" customWidth="1"/>
    <col min="6" max="6" width="17.53125" customWidth="1"/>
    <col min="7" max="7" width="7.33203125" customWidth="1"/>
    <col min="8" max="8" width="23.19921875" customWidth="1"/>
    <col min="9" max="9" width="6.86328125" customWidth="1"/>
  </cols>
  <sheetData>
    <row r="1" spans="1:17" ht="33.4" customHeight="1">
      <c r="A1" s="1"/>
      <c r="B1" s="1"/>
      <c r="C1" s="1"/>
      <c r="D1" s="93" t="s">
        <v>0</v>
      </c>
      <c r="E1" s="93"/>
      <c r="F1" s="3"/>
      <c r="G1" s="3"/>
      <c r="H1" s="3"/>
      <c r="I1" s="2"/>
      <c r="J1" s="2"/>
      <c r="K1" s="2"/>
      <c r="L1" s="1"/>
      <c r="M1" s="1"/>
      <c r="N1" s="1"/>
      <c r="O1" s="1"/>
    </row>
    <row r="2" spans="1:17" ht="37.5" customHeight="1">
      <c r="A2" s="3" t="s">
        <v>2</v>
      </c>
      <c r="B2" s="3"/>
      <c r="C2" s="3"/>
      <c r="D2" s="94" t="s">
        <v>1</v>
      </c>
      <c r="E2" s="94"/>
      <c r="F2" s="19"/>
      <c r="G2" s="19"/>
      <c r="H2" s="19"/>
      <c r="I2" s="16"/>
      <c r="J2" s="2"/>
      <c r="K2" s="3"/>
      <c r="L2" s="3"/>
      <c r="M2" s="1"/>
      <c r="N2" s="1"/>
      <c r="O2" s="1"/>
    </row>
    <row r="3" spans="1:17" ht="37.9" customHeight="1">
      <c r="A3" s="3" t="s">
        <v>72</v>
      </c>
      <c r="B3" s="3"/>
      <c r="C3" s="3"/>
      <c r="D3" s="21" t="s">
        <v>77</v>
      </c>
      <c r="E3" s="20"/>
      <c r="F3" s="3"/>
      <c r="G3" s="3"/>
      <c r="H3" s="3"/>
      <c r="I3" s="1"/>
      <c r="J3" s="1"/>
      <c r="K3" s="14"/>
      <c r="L3" s="1"/>
      <c r="M3" s="1"/>
      <c r="N3" s="1"/>
      <c r="O3" s="1"/>
      <c r="P3" s="1"/>
      <c r="Q3" s="1"/>
    </row>
    <row r="4" spans="1:17">
      <c r="A4" s="5" t="s">
        <v>4</v>
      </c>
      <c r="B4" s="6" t="s">
        <v>5</v>
      </c>
      <c r="C4" s="6" t="s">
        <v>66</v>
      </c>
      <c r="D4" s="6" t="s">
        <v>67</v>
      </c>
      <c r="E4" s="6" t="s">
        <v>75</v>
      </c>
      <c r="F4" s="17"/>
      <c r="G4" s="17"/>
      <c r="H4" s="17"/>
      <c r="I4" s="95"/>
      <c r="J4" s="15"/>
      <c r="K4" s="15"/>
    </row>
    <row r="5" spans="1:17">
      <c r="A5" s="7">
        <v>1</v>
      </c>
      <c r="B5" s="8" t="s">
        <v>29</v>
      </c>
      <c r="C5" s="22">
        <v>641</v>
      </c>
      <c r="D5" s="23">
        <v>45.785714285714285</v>
      </c>
      <c r="E5" s="24">
        <v>1</v>
      </c>
      <c r="F5" s="17"/>
      <c r="G5" s="17"/>
      <c r="H5" s="17"/>
      <c r="I5" s="95"/>
    </row>
    <row r="6" spans="1:17">
      <c r="A6" s="7">
        <v>2</v>
      </c>
      <c r="B6" s="8" t="s">
        <v>19</v>
      </c>
      <c r="C6" s="22">
        <v>636</v>
      </c>
      <c r="D6" s="23">
        <v>45.428571428571431</v>
      </c>
      <c r="E6" s="24">
        <v>2</v>
      </c>
      <c r="F6" s="17"/>
      <c r="G6" s="17"/>
      <c r="H6" s="17"/>
      <c r="I6" s="95"/>
    </row>
    <row r="7" spans="1:17">
      <c r="A7" s="7">
        <v>3</v>
      </c>
      <c r="B7" s="8" t="s">
        <v>12</v>
      </c>
      <c r="C7" s="22">
        <v>635</v>
      </c>
      <c r="D7" s="23">
        <v>45.357142857142854</v>
      </c>
      <c r="E7" s="24">
        <v>3</v>
      </c>
      <c r="F7" s="17"/>
      <c r="G7" s="17"/>
      <c r="H7" s="17"/>
      <c r="I7" s="95"/>
    </row>
    <row r="8" spans="1:17">
      <c r="A8" s="7">
        <v>4</v>
      </c>
      <c r="B8" s="8" t="s">
        <v>53</v>
      </c>
      <c r="C8" s="22">
        <v>633</v>
      </c>
      <c r="D8" s="23">
        <v>45.214285714285715</v>
      </c>
      <c r="E8" s="24">
        <v>4</v>
      </c>
      <c r="F8" s="17"/>
      <c r="G8" s="17"/>
      <c r="H8" s="17"/>
      <c r="I8" s="95"/>
    </row>
    <row r="9" spans="1:17">
      <c r="A9" s="7">
        <v>5</v>
      </c>
      <c r="B9" s="8" t="s">
        <v>26</v>
      </c>
      <c r="C9" s="22">
        <v>628</v>
      </c>
      <c r="D9" s="23">
        <v>44.857142857142854</v>
      </c>
      <c r="E9" s="24">
        <v>5</v>
      </c>
      <c r="F9" s="17"/>
      <c r="G9" s="17"/>
      <c r="H9" s="17"/>
      <c r="I9" s="95"/>
    </row>
    <row r="10" spans="1:17">
      <c r="A10" s="7">
        <v>6</v>
      </c>
      <c r="B10" s="8" t="s">
        <v>18</v>
      </c>
      <c r="C10" s="22">
        <v>614</v>
      </c>
      <c r="D10" s="23">
        <v>43.857142857142854</v>
      </c>
      <c r="E10" s="24">
        <v>6</v>
      </c>
      <c r="F10" s="17"/>
      <c r="G10" s="17"/>
      <c r="H10" s="17"/>
      <c r="I10" s="95"/>
    </row>
    <row r="11" spans="1:17">
      <c r="A11" s="7">
        <v>7</v>
      </c>
      <c r="B11" s="8" t="s">
        <v>23</v>
      </c>
      <c r="C11" s="22">
        <v>614</v>
      </c>
      <c r="D11" s="23">
        <v>43.857142857142854</v>
      </c>
      <c r="E11" s="24">
        <v>6</v>
      </c>
      <c r="F11" s="17"/>
      <c r="G11" s="17"/>
      <c r="H11" s="17"/>
      <c r="I11" s="95"/>
    </row>
    <row r="12" spans="1:17">
      <c r="A12" s="7">
        <v>8</v>
      </c>
      <c r="B12" s="8" t="s">
        <v>36</v>
      </c>
      <c r="C12" s="22">
        <v>605</v>
      </c>
      <c r="D12" s="23">
        <v>43.214285714285715</v>
      </c>
      <c r="E12" s="24">
        <v>8</v>
      </c>
      <c r="F12" s="17"/>
      <c r="G12" s="17"/>
      <c r="H12" s="17"/>
      <c r="I12" s="95"/>
    </row>
    <row r="13" spans="1:17">
      <c r="A13" s="7">
        <v>9</v>
      </c>
      <c r="B13" s="8" t="s">
        <v>6</v>
      </c>
      <c r="C13" s="22">
        <v>601</v>
      </c>
      <c r="D13" s="23">
        <v>42.928571428571431</v>
      </c>
      <c r="E13" s="24">
        <v>9</v>
      </c>
      <c r="F13" s="17"/>
      <c r="G13" s="17"/>
      <c r="H13" s="17"/>
      <c r="I13" s="95"/>
    </row>
    <row r="14" spans="1:17">
      <c r="A14" s="7">
        <v>10</v>
      </c>
      <c r="B14" s="8" t="s">
        <v>43</v>
      </c>
      <c r="C14" s="22">
        <v>596</v>
      </c>
      <c r="D14" s="23">
        <v>42.571428571428569</v>
      </c>
      <c r="E14" s="24">
        <v>10</v>
      </c>
      <c r="F14" s="17"/>
      <c r="G14" s="17"/>
      <c r="H14" s="17"/>
      <c r="I14" s="95"/>
    </row>
    <row r="15" spans="1:17">
      <c r="A15" s="7">
        <v>11</v>
      </c>
      <c r="B15" s="8" t="s">
        <v>74</v>
      </c>
      <c r="C15" s="22">
        <v>595</v>
      </c>
      <c r="D15" s="23">
        <v>42.5</v>
      </c>
      <c r="E15" s="24">
        <v>11</v>
      </c>
      <c r="F15" s="17"/>
      <c r="G15" s="17"/>
      <c r="H15" s="17"/>
      <c r="I15" s="95"/>
    </row>
    <row r="16" spans="1:17">
      <c r="A16" s="7">
        <v>12</v>
      </c>
      <c r="B16" s="8" t="s">
        <v>24</v>
      </c>
      <c r="C16" s="22">
        <v>591</v>
      </c>
      <c r="D16" s="23">
        <v>42.214285714285715</v>
      </c>
      <c r="E16" s="24">
        <v>12</v>
      </c>
      <c r="F16" s="17"/>
      <c r="G16" s="17"/>
      <c r="H16" s="17"/>
      <c r="I16" s="95"/>
    </row>
    <row r="17" spans="1:9">
      <c r="A17" s="7">
        <v>13</v>
      </c>
      <c r="B17" s="8" t="s">
        <v>47</v>
      </c>
      <c r="C17" s="22">
        <v>590</v>
      </c>
      <c r="D17" s="23">
        <v>42.142857142857146</v>
      </c>
      <c r="E17" s="24">
        <v>13</v>
      </c>
      <c r="F17" s="17"/>
      <c r="G17" s="17"/>
      <c r="H17" s="17"/>
      <c r="I17" s="95"/>
    </row>
    <row r="18" spans="1:9">
      <c r="A18" s="7">
        <v>14</v>
      </c>
      <c r="B18" s="8" t="s">
        <v>42</v>
      </c>
      <c r="C18" s="22">
        <v>582</v>
      </c>
      <c r="D18" s="23">
        <v>41.571428571428569</v>
      </c>
      <c r="E18" s="24">
        <v>14</v>
      </c>
      <c r="F18" s="17"/>
      <c r="G18" s="17"/>
      <c r="H18" s="17"/>
      <c r="I18" s="95"/>
    </row>
    <row r="19" spans="1:9">
      <c r="A19" s="7">
        <v>15</v>
      </c>
      <c r="B19" s="8" t="s">
        <v>14</v>
      </c>
      <c r="C19" s="22">
        <v>567</v>
      </c>
      <c r="D19" s="23">
        <v>40.5</v>
      </c>
      <c r="E19" s="24">
        <v>15</v>
      </c>
      <c r="F19" s="17"/>
      <c r="G19" s="17"/>
      <c r="H19" s="17"/>
      <c r="I19" s="95"/>
    </row>
    <row r="20" spans="1:9">
      <c r="A20" s="7">
        <v>16</v>
      </c>
      <c r="B20" s="8" t="s">
        <v>7</v>
      </c>
      <c r="C20" s="22">
        <v>564</v>
      </c>
      <c r="D20" s="23">
        <v>40.285714285714285</v>
      </c>
      <c r="E20" s="24">
        <v>16</v>
      </c>
      <c r="F20" s="17"/>
      <c r="G20" s="17"/>
      <c r="H20" s="17"/>
      <c r="I20" s="95"/>
    </row>
    <row r="21" spans="1:9">
      <c r="A21" s="7">
        <v>17</v>
      </c>
      <c r="B21" s="8" t="s">
        <v>27</v>
      </c>
      <c r="C21" s="22">
        <v>564</v>
      </c>
      <c r="D21" s="23">
        <v>40.285714285714285</v>
      </c>
      <c r="E21" s="24">
        <v>16</v>
      </c>
      <c r="F21" s="17"/>
      <c r="G21" s="17"/>
      <c r="H21" s="17"/>
      <c r="I21" s="95"/>
    </row>
    <row r="22" spans="1:9">
      <c r="A22" s="7">
        <v>18</v>
      </c>
      <c r="B22" s="8" t="s">
        <v>45</v>
      </c>
      <c r="C22" s="22">
        <v>554</v>
      </c>
      <c r="D22" s="23">
        <v>39.571428571428569</v>
      </c>
      <c r="E22" s="24">
        <v>18</v>
      </c>
      <c r="F22" s="17"/>
      <c r="G22" s="17"/>
      <c r="H22" s="17"/>
      <c r="I22" s="95"/>
    </row>
    <row r="23" spans="1:9">
      <c r="A23" s="7">
        <v>19</v>
      </c>
      <c r="B23" s="8" t="s">
        <v>28</v>
      </c>
      <c r="C23" s="22">
        <v>537</v>
      </c>
      <c r="D23" s="23">
        <v>38.357142857142854</v>
      </c>
      <c r="E23" s="24">
        <v>19</v>
      </c>
      <c r="F23" s="17"/>
      <c r="G23" s="17"/>
      <c r="H23" s="17"/>
      <c r="I23" s="95"/>
    </row>
    <row r="24" spans="1:9">
      <c r="A24" s="7">
        <v>20</v>
      </c>
      <c r="B24" s="8" t="s">
        <v>40</v>
      </c>
      <c r="C24" s="22">
        <v>525</v>
      </c>
      <c r="D24" s="23">
        <v>37.5</v>
      </c>
      <c r="E24" s="24">
        <v>20</v>
      </c>
      <c r="F24" s="17"/>
      <c r="G24" s="17"/>
      <c r="H24" s="17"/>
      <c r="I24" s="95"/>
    </row>
    <row r="25" spans="1:9">
      <c r="A25" s="7">
        <v>21</v>
      </c>
      <c r="B25" s="8" t="s">
        <v>31</v>
      </c>
      <c r="C25" s="22">
        <v>524</v>
      </c>
      <c r="D25" s="23">
        <v>37.428571428571431</v>
      </c>
      <c r="E25" s="24">
        <v>21</v>
      </c>
      <c r="F25" s="17"/>
      <c r="G25" s="17"/>
      <c r="H25" s="17"/>
      <c r="I25" s="95"/>
    </row>
    <row r="26" spans="1:9">
      <c r="A26" s="7">
        <v>22</v>
      </c>
      <c r="B26" s="8" t="s">
        <v>51</v>
      </c>
      <c r="C26" s="22">
        <v>524</v>
      </c>
      <c r="D26" s="23">
        <v>37.428571428571431</v>
      </c>
      <c r="E26" s="24">
        <v>21</v>
      </c>
      <c r="F26" s="17"/>
      <c r="G26" s="17"/>
      <c r="H26" s="17"/>
      <c r="I26" s="95"/>
    </row>
    <row r="27" spans="1:9">
      <c r="A27" s="7">
        <v>23</v>
      </c>
      <c r="B27" s="8" t="s">
        <v>13</v>
      </c>
      <c r="C27" s="22">
        <v>506</v>
      </c>
      <c r="D27" s="23">
        <v>36.142857142857146</v>
      </c>
      <c r="E27" s="24">
        <v>23</v>
      </c>
      <c r="F27" s="17"/>
      <c r="G27" s="17"/>
      <c r="H27" s="17"/>
      <c r="I27" s="95"/>
    </row>
    <row r="28" spans="1:9">
      <c r="A28" s="7">
        <v>24</v>
      </c>
      <c r="B28" s="8" t="s">
        <v>38</v>
      </c>
      <c r="C28" s="22">
        <v>495</v>
      </c>
      <c r="D28" s="23">
        <v>35.357142857142854</v>
      </c>
      <c r="E28" s="24">
        <v>24</v>
      </c>
      <c r="F28" s="17"/>
      <c r="G28" s="17"/>
      <c r="H28" s="17"/>
      <c r="I28" s="95"/>
    </row>
    <row r="29" spans="1:9">
      <c r="A29" s="7">
        <v>25</v>
      </c>
      <c r="B29" s="8" t="s">
        <v>49</v>
      </c>
      <c r="C29" s="22">
        <v>494</v>
      </c>
      <c r="D29" s="23">
        <v>35.285714285714285</v>
      </c>
      <c r="E29" s="24">
        <v>25</v>
      </c>
      <c r="F29" s="17"/>
      <c r="G29" s="17"/>
      <c r="H29" s="17"/>
      <c r="I29" s="95"/>
    </row>
    <row r="30" spans="1:9">
      <c r="A30" s="7">
        <v>26</v>
      </c>
      <c r="B30" s="8" t="s">
        <v>21</v>
      </c>
      <c r="C30" s="22">
        <v>479</v>
      </c>
      <c r="D30" s="23">
        <v>34.214285714285715</v>
      </c>
      <c r="E30" s="24">
        <v>26</v>
      </c>
      <c r="F30" s="17"/>
      <c r="G30" s="17"/>
      <c r="H30" s="17"/>
      <c r="I30" s="95"/>
    </row>
    <row r="31" spans="1:9">
      <c r="A31" s="7">
        <v>27</v>
      </c>
      <c r="B31" s="8" t="s">
        <v>22</v>
      </c>
      <c r="C31" s="22">
        <v>446</v>
      </c>
      <c r="D31" s="23">
        <v>31.857142857142858</v>
      </c>
      <c r="E31" s="24">
        <v>27</v>
      </c>
      <c r="F31" s="17"/>
      <c r="G31" s="17"/>
      <c r="H31" s="17"/>
      <c r="I31" s="95"/>
    </row>
    <row r="32" spans="1:9">
      <c r="A32" s="7">
        <v>28</v>
      </c>
      <c r="B32" s="8" t="s">
        <v>15</v>
      </c>
      <c r="C32" s="22">
        <v>434</v>
      </c>
      <c r="D32" s="23">
        <v>31</v>
      </c>
      <c r="E32" s="24">
        <v>28</v>
      </c>
      <c r="F32" s="17"/>
      <c r="G32" s="17"/>
      <c r="H32" s="17"/>
      <c r="I32" s="95"/>
    </row>
    <row r="33" spans="1:9">
      <c r="A33" s="7">
        <v>29</v>
      </c>
      <c r="B33" s="8" t="s">
        <v>25</v>
      </c>
      <c r="C33" s="22">
        <v>430</v>
      </c>
      <c r="D33" s="23">
        <v>30.714285714285715</v>
      </c>
      <c r="E33" s="24">
        <v>29</v>
      </c>
      <c r="F33" s="17"/>
      <c r="G33" s="17"/>
      <c r="H33" s="17"/>
      <c r="I33" s="95"/>
    </row>
    <row r="34" spans="1:9">
      <c r="A34" s="7">
        <v>30</v>
      </c>
      <c r="B34" s="8" t="s">
        <v>16</v>
      </c>
      <c r="C34" s="22">
        <v>429</v>
      </c>
      <c r="D34" s="23">
        <v>30.642857142857142</v>
      </c>
      <c r="E34" s="24">
        <v>30</v>
      </c>
      <c r="F34" s="17"/>
      <c r="G34" s="17"/>
      <c r="H34" s="17"/>
      <c r="I34" s="95"/>
    </row>
    <row r="35" spans="1:9">
      <c r="A35" s="7">
        <v>31</v>
      </c>
      <c r="B35" s="8" t="s">
        <v>20</v>
      </c>
      <c r="C35" s="22">
        <v>427</v>
      </c>
      <c r="D35" s="23">
        <v>30.5</v>
      </c>
      <c r="E35" s="24">
        <v>31</v>
      </c>
      <c r="F35" s="17"/>
      <c r="G35" s="17"/>
      <c r="H35" s="17"/>
      <c r="I35" s="95"/>
    </row>
    <row r="36" spans="1:9">
      <c r="A36" s="7">
        <v>32</v>
      </c>
      <c r="B36" s="8" t="s">
        <v>11</v>
      </c>
      <c r="C36" s="22">
        <v>417</v>
      </c>
      <c r="D36" s="23">
        <v>29.785714285714285</v>
      </c>
      <c r="E36" s="24">
        <v>32</v>
      </c>
      <c r="F36" s="17"/>
      <c r="G36" s="17"/>
      <c r="H36" s="17"/>
      <c r="I36" s="95"/>
    </row>
    <row r="37" spans="1:9">
      <c r="A37" s="7">
        <v>33</v>
      </c>
      <c r="B37" s="8" t="s">
        <v>41</v>
      </c>
      <c r="C37" s="22">
        <v>412</v>
      </c>
      <c r="D37" s="23">
        <v>29.428571428571427</v>
      </c>
      <c r="E37" s="24">
        <v>33</v>
      </c>
      <c r="F37" s="17"/>
      <c r="G37" s="17"/>
      <c r="H37" s="17"/>
      <c r="I37" s="95"/>
    </row>
    <row r="38" spans="1:9">
      <c r="A38" s="7">
        <v>34</v>
      </c>
      <c r="B38" s="8" t="s">
        <v>52</v>
      </c>
      <c r="C38" s="22">
        <v>406</v>
      </c>
      <c r="D38" s="23">
        <v>29</v>
      </c>
      <c r="E38" s="24">
        <v>34</v>
      </c>
      <c r="F38" s="17"/>
      <c r="G38" s="17"/>
      <c r="H38" s="17"/>
      <c r="I38" s="95"/>
    </row>
    <row r="39" spans="1:9">
      <c r="A39" s="7">
        <v>35</v>
      </c>
      <c r="B39" s="8" t="s">
        <v>9</v>
      </c>
      <c r="C39" s="22">
        <v>405</v>
      </c>
      <c r="D39" s="23">
        <v>28.928571428571427</v>
      </c>
      <c r="E39" s="24">
        <v>35</v>
      </c>
      <c r="F39" s="17"/>
      <c r="G39" s="17"/>
      <c r="H39" s="17"/>
      <c r="I39" s="95"/>
    </row>
    <row r="40" spans="1:9">
      <c r="A40" s="7">
        <v>36</v>
      </c>
      <c r="B40" s="8" t="s">
        <v>10</v>
      </c>
      <c r="C40" s="22">
        <v>404</v>
      </c>
      <c r="D40" s="23">
        <v>28.857142857142858</v>
      </c>
      <c r="E40" s="24">
        <v>36</v>
      </c>
      <c r="F40" s="17"/>
      <c r="G40" s="17"/>
      <c r="H40" s="17"/>
      <c r="I40" s="95"/>
    </row>
    <row r="41" spans="1:9">
      <c r="A41" s="7">
        <v>37</v>
      </c>
      <c r="B41" s="8" t="s">
        <v>35</v>
      </c>
      <c r="C41" s="22">
        <v>395</v>
      </c>
      <c r="D41" s="23">
        <v>28.214285714285715</v>
      </c>
      <c r="E41" s="24">
        <v>37</v>
      </c>
      <c r="F41" s="17"/>
      <c r="G41" s="17"/>
      <c r="H41" s="17"/>
      <c r="I41" s="95"/>
    </row>
    <row r="42" spans="1:9">
      <c r="A42" s="7">
        <v>38</v>
      </c>
      <c r="B42" s="8" t="s">
        <v>17</v>
      </c>
      <c r="C42" s="22">
        <v>389</v>
      </c>
      <c r="D42" s="23">
        <v>27.785714285714285</v>
      </c>
      <c r="E42" s="24">
        <v>38</v>
      </c>
      <c r="F42" s="17"/>
      <c r="G42" s="17"/>
      <c r="H42" s="17"/>
      <c r="I42" s="95"/>
    </row>
    <row r="43" spans="1:9">
      <c r="A43" s="7">
        <v>39</v>
      </c>
      <c r="B43" s="8" t="s">
        <v>37</v>
      </c>
      <c r="C43" s="22">
        <v>388</v>
      </c>
      <c r="D43" s="23">
        <v>27.714285714285715</v>
      </c>
      <c r="E43" s="24">
        <v>39</v>
      </c>
      <c r="F43" s="17"/>
      <c r="G43" s="17"/>
      <c r="H43" s="17"/>
      <c r="I43" s="95"/>
    </row>
    <row r="44" spans="1:9">
      <c r="A44" s="7">
        <v>40</v>
      </c>
      <c r="B44" s="8" t="s">
        <v>48</v>
      </c>
      <c r="C44" s="22">
        <v>368</v>
      </c>
      <c r="D44" s="23">
        <v>26.285714285714285</v>
      </c>
      <c r="E44" s="24">
        <v>40</v>
      </c>
      <c r="F44" s="17"/>
      <c r="G44" s="17"/>
      <c r="H44" s="17"/>
      <c r="I44" s="95"/>
    </row>
    <row r="45" spans="1:9">
      <c r="A45" s="7">
        <v>41</v>
      </c>
      <c r="B45" s="8" t="s">
        <v>8</v>
      </c>
      <c r="C45" s="22">
        <v>350</v>
      </c>
      <c r="D45" s="23">
        <v>25</v>
      </c>
      <c r="E45" s="24">
        <v>41</v>
      </c>
      <c r="F45" s="17"/>
      <c r="G45" s="17"/>
      <c r="H45" s="17"/>
      <c r="I45" s="95"/>
    </row>
    <row r="46" spans="1:9">
      <c r="A46" s="7">
        <v>42</v>
      </c>
      <c r="B46" s="8" t="s">
        <v>46</v>
      </c>
      <c r="C46" s="22">
        <v>347</v>
      </c>
      <c r="D46" s="23">
        <v>24.785714285714285</v>
      </c>
      <c r="E46" s="24">
        <v>42</v>
      </c>
      <c r="F46" s="17"/>
      <c r="G46" s="17"/>
      <c r="H46" s="17"/>
      <c r="I46" s="95"/>
    </row>
    <row r="47" spans="1:9">
      <c r="A47" s="7">
        <v>43</v>
      </c>
      <c r="B47" s="8" t="s">
        <v>73</v>
      </c>
      <c r="C47" s="22">
        <v>342</v>
      </c>
      <c r="D47" s="23">
        <v>24.428571428571427</v>
      </c>
      <c r="E47" s="24">
        <v>43</v>
      </c>
      <c r="F47" s="17"/>
      <c r="G47" s="17"/>
      <c r="H47" s="17"/>
      <c r="I47" s="95"/>
    </row>
    <row r="48" spans="1:9">
      <c r="A48" s="7">
        <v>44</v>
      </c>
      <c r="B48" s="8" t="s">
        <v>34</v>
      </c>
      <c r="C48" s="22">
        <v>331</v>
      </c>
      <c r="D48" s="23">
        <v>23.642857142857142</v>
      </c>
      <c r="E48" s="24">
        <v>44</v>
      </c>
      <c r="F48" s="17"/>
      <c r="G48" s="17"/>
      <c r="H48" s="17"/>
      <c r="I48" s="95"/>
    </row>
    <row r="49" spans="1:9">
      <c r="A49" s="7">
        <v>45</v>
      </c>
      <c r="B49" s="8" t="s">
        <v>32</v>
      </c>
      <c r="C49" s="22">
        <v>298</v>
      </c>
      <c r="D49" s="23">
        <v>21.285714285714285</v>
      </c>
      <c r="E49" s="24">
        <v>45</v>
      </c>
      <c r="F49" s="17"/>
      <c r="G49" s="17"/>
      <c r="H49" s="17"/>
      <c r="I49" s="95"/>
    </row>
    <row r="50" spans="1:9">
      <c r="A50" s="7">
        <v>46</v>
      </c>
      <c r="B50" s="8" t="s">
        <v>44</v>
      </c>
      <c r="C50" s="22">
        <v>280</v>
      </c>
      <c r="D50" s="23">
        <v>20</v>
      </c>
      <c r="E50" s="24">
        <v>46</v>
      </c>
      <c r="F50" s="17"/>
      <c r="G50" s="17"/>
      <c r="H50" s="17"/>
      <c r="I50" s="95"/>
    </row>
    <row r="51" spans="1:9">
      <c r="A51" s="7">
        <v>47</v>
      </c>
      <c r="B51" s="8" t="s">
        <v>30</v>
      </c>
      <c r="C51" s="22">
        <v>279</v>
      </c>
      <c r="D51" s="23">
        <v>19.928571428571427</v>
      </c>
      <c r="E51" s="24">
        <v>47</v>
      </c>
      <c r="F51" s="17"/>
      <c r="G51" s="17"/>
      <c r="H51" s="17"/>
      <c r="I51" s="95"/>
    </row>
    <row r="52" spans="1:9">
      <c r="A52" s="7">
        <v>48</v>
      </c>
      <c r="B52" s="8" t="s">
        <v>33</v>
      </c>
      <c r="C52" s="22">
        <v>211</v>
      </c>
      <c r="D52" s="23">
        <v>15.071428571428571</v>
      </c>
      <c r="E52" s="24">
        <v>48</v>
      </c>
      <c r="F52" s="17"/>
      <c r="G52" s="17"/>
      <c r="H52" s="17"/>
      <c r="I52" s="95"/>
    </row>
    <row r="53" spans="1:9">
      <c r="A53" s="7">
        <v>49</v>
      </c>
      <c r="B53" s="8" t="s">
        <v>39</v>
      </c>
      <c r="C53" s="22">
        <v>167</v>
      </c>
      <c r="D53" s="23">
        <v>11.928571428571429</v>
      </c>
      <c r="E53" s="24">
        <v>49</v>
      </c>
      <c r="F53" s="17"/>
      <c r="G53" s="17"/>
      <c r="H53" s="17"/>
      <c r="I53" s="95"/>
    </row>
    <row r="54" spans="1:9">
      <c r="A54" s="7">
        <v>50</v>
      </c>
      <c r="B54" s="8" t="s">
        <v>50</v>
      </c>
      <c r="C54" s="22">
        <v>67</v>
      </c>
      <c r="D54" s="23">
        <v>4.7857142857142856</v>
      </c>
      <c r="E54" s="24">
        <v>50</v>
      </c>
      <c r="F54" s="18"/>
      <c r="G54" s="17"/>
      <c r="H54" s="17"/>
      <c r="I54" s="95"/>
    </row>
    <row r="55" spans="1:9">
      <c r="A55" s="10" t="s">
        <v>69</v>
      </c>
      <c r="B55" s="10"/>
      <c r="C55" s="25"/>
      <c r="D55" s="27" t="s">
        <v>78</v>
      </c>
      <c r="E55" s="28"/>
      <c r="F55" s="11"/>
    </row>
    <row r="56" spans="1:9">
      <c r="A56" s="11" t="s">
        <v>70</v>
      </c>
      <c r="B56" s="26"/>
      <c r="C56" s="25"/>
      <c r="D56" s="29" t="s">
        <v>71</v>
      </c>
      <c r="E56" s="29"/>
    </row>
    <row r="57" spans="1:9">
      <c r="A57" s="25"/>
      <c r="B57" s="25"/>
      <c r="C57" s="25"/>
      <c r="D57" s="29"/>
      <c r="E57" s="30"/>
    </row>
    <row r="58" spans="1:9">
      <c r="A58" s="25"/>
      <c r="B58" s="25"/>
      <c r="C58" s="25"/>
      <c r="D58" s="29" t="s">
        <v>76</v>
      </c>
      <c r="E58" s="29"/>
    </row>
  </sheetData>
  <sortState xmlns:xlrd2="http://schemas.microsoft.com/office/spreadsheetml/2017/richdata2" ref="A5:E54">
    <sortCondition ref="A5"/>
  </sortState>
  <mergeCells count="3">
    <mergeCell ref="D1:E1"/>
    <mergeCell ref="D2:E2"/>
    <mergeCell ref="I4:I54"/>
  </mergeCells>
  <pageMargins left="0.45" right="0.2" top="0.7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8"/>
  <sheetViews>
    <sheetView topLeftCell="A49" zoomScale="115" zoomScaleNormal="115" workbookViewId="0">
      <selection activeCell="P5" sqref="P5:P54"/>
    </sheetView>
  </sheetViews>
  <sheetFormatPr defaultRowHeight="14.25"/>
  <cols>
    <col min="1" max="1" width="4.59765625" customWidth="1"/>
    <col min="2" max="2" width="20.6640625" customWidth="1"/>
    <col min="3" max="3" width="7.33203125" customWidth="1"/>
    <col min="4" max="4" width="6.33203125" customWidth="1"/>
    <col min="5" max="6" width="6.796875" customWidth="1"/>
    <col min="7" max="7" width="8.265625" customWidth="1"/>
    <col min="8" max="8" width="6.796875" customWidth="1"/>
    <col min="9" max="9" width="6.6640625" customWidth="1"/>
    <col min="10" max="11" width="6.265625" customWidth="1"/>
    <col min="12" max="12" width="7.6640625" customWidth="1"/>
    <col min="13" max="13" width="7.19921875" customWidth="1"/>
    <col min="14" max="14" width="6.9296875" customWidth="1"/>
    <col min="15" max="15" width="8.796875" customWidth="1"/>
    <col min="16" max="16" width="9.59765625" customWidth="1"/>
    <col min="17" max="17" width="11.06640625" customWidth="1"/>
  </cols>
  <sheetData>
    <row r="1" spans="1:18" ht="20.25" customHeight="1">
      <c r="A1" s="1"/>
      <c r="B1" s="1"/>
      <c r="C1" s="1"/>
      <c r="D1" s="1"/>
      <c r="E1" s="1"/>
      <c r="F1" s="1"/>
      <c r="G1" s="2"/>
      <c r="H1" s="1"/>
      <c r="I1" s="2" t="s">
        <v>0</v>
      </c>
      <c r="J1" s="2"/>
      <c r="K1" s="2"/>
      <c r="L1" s="1"/>
      <c r="M1" s="1"/>
      <c r="N1" s="1"/>
      <c r="O1" s="1"/>
    </row>
    <row r="2" spans="1:18">
      <c r="A2" s="3" t="s">
        <v>2</v>
      </c>
      <c r="B2" s="3"/>
      <c r="C2" s="3"/>
      <c r="D2" s="3"/>
      <c r="E2" s="1"/>
      <c r="F2" s="1"/>
      <c r="G2" s="2"/>
      <c r="H2" s="1"/>
      <c r="I2" s="2" t="s">
        <v>1</v>
      </c>
      <c r="J2" s="2"/>
      <c r="K2" s="3"/>
      <c r="L2" s="3"/>
      <c r="M2" s="1"/>
      <c r="N2" s="1"/>
      <c r="O2" s="1"/>
    </row>
    <row r="3" spans="1:18" ht="20.65" customHeight="1">
      <c r="A3" s="3" t="s">
        <v>72</v>
      </c>
      <c r="B3" s="3"/>
      <c r="C3" s="3"/>
      <c r="D3" s="3"/>
      <c r="E3" s="1"/>
      <c r="F3" s="4"/>
      <c r="G3" s="4"/>
      <c r="H3" s="92" t="s">
        <v>79</v>
      </c>
      <c r="I3" s="92"/>
      <c r="J3" s="92"/>
      <c r="K3" s="4"/>
      <c r="L3" s="1"/>
      <c r="M3" s="1"/>
      <c r="N3" s="1"/>
      <c r="O3" s="1" t="s">
        <v>3</v>
      </c>
      <c r="P3" s="1"/>
      <c r="Q3" s="1"/>
      <c r="R3" s="1"/>
    </row>
    <row r="4" spans="1:18" ht="22.9" customHeight="1">
      <c r="A4" s="5" t="s">
        <v>4</v>
      </c>
      <c r="B4" s="6" t="s">
        <v>5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6" t="s">
        <v>65</v>
      </c>
      <c r="O4" s="6" t="s">
        <v>66</v>
      </c>
      <c r="P4" s="6" t="s">
        <v>67</v>
      </c>
      <c r="Q4" s="6" t="s">
        <v>68</v>
      </c>
    </row>
    <row r="5" spans="1:18" ht="19.05" customHeight="1">
      <c r="A5" s="7">
        <v>1</v>
      </c>
      <c r="B5" s="8" t="s">
        <v>6</v>
      </c>
      <c r="C5" s="22">
        <v>120</v>
      </c>
      <c r="D5" s="22">
        <v>36</v>
      </c>
      <c r="E5" s="22">
        <v>22</v>
      </c>
      <c r="F5" s="12">
        <v>38</v>
      </c>
      <c r="G5" s="22">
        <v>120</v>
      </c>
      <c r="H5" s="22">
        <v>5</v>
      </c>
      <c r="I5" s="22">
        <v>36</v>
      </c>
      <c r="J5" s="22">
        <v>37</v>
      </c>
      <c r="K5" s="22">
        <v>24</v>
      </c>
      <c r="L5" s="22">
        <v>96</v>
      </c>
      <c r="M5" s="22">
        <v>36</v>
      </c>
      <c r="N5" s="22">
        <v>45</v>
      </c>
      <c r="O5" s="12">
        <f t="shared" ref="O5:O36" si="0">SUM(C5,D5,E5,F5,G5,H5,I5,J5,K5,L5,M5,N5)</f>
        <v>615</v>
      </c>
      <c r="P5" s="13">
        <f>SUM(O5/15)</f>
        <v>41</v>
      </c>
      <c r="Q5" s="12">
        <f>RANK(P5,$P$5:$P$54,0)</f>
        <v>12</v>
      </c>
    </row>
    <row r="6" spans="1:18" ht="19.05" customHeight="1">
      <c r="A6" s="7">
        <v>2</v>
      </c>
      <c r="B6" s="8" t="s">
        <v>7</v>
      </c>
      <c r="C6" s="22">
        <v>80</v>
      </c>
      <c r="D6" s="22">
        <v>36</v>
      </c>
      <c r="E6" s="22">
        <v>22</v>
      </c>
      <c r="F6" s="12">
        <v>38</v>
      </c>
      <c r="G6" s="22">
        <v>120</v>
      </c>
      <c r="H6" s="22">
        <v>5</v>
      </c>
      <c r="I6" s="22">
        <v>12</v>
      </c>
      <c r="J6" s="22">
        <v>36</v>
      </c>
      <c r="K6" s="22">
        <v>14</v>
      </c>
      <c r="L6" s="22">
        <v>70</v>
      </c>
      <c r="M6" s="22">
        <v>34</v>
      </c>
      <c r="N6" s="22">
        <v>45</v>
      </c>
      <c r="O6" s="12">
        <f t="shared" si="0"/>
        <v>512</v>
      </c>
      <c r="P6" s="13">
        <f t="shared" ref="P6:P54" si="1">SUM(O6/15)</f>
        <v>34.133333333333333</v>
      </c>
      <c r="Q6" s="12">
        <f t="shared" ref="Q6:Q54" si="2">RANK(P6,$P$5:$P$54,0)</f>
        <v>22</v>
      </c>
    </row>
    <row r="7" spans="1:18" ht="19.05" customHeight="1">
      <c r="A7" s="7">
        <v>3</v>
      </c>
      <c r="B7" s="8" t="s">
        <v>8</v>
      </c>
      <c r="C7" s="22">
        <v>80</v>
      </c>
      <c r="D7" s="22">
        <v>35</v>
      </c>
      <c r="E7" s="22">
        <v>21</v>
      </c>
      <c r="F7" s="12">
        <v>34</v>
      </c>
      <c r="G7" s="22">
        <v>30</v>
      </c>
      <c r="H7" s="22">
        <v>5</v>
      </c>
      <c r="I7" s="22">
        <v>12</v>
      </c>
      <c r="J7" s="22">
        <v>36</v>
      </c>
      <c r="K7" s="22">
        <v>14</v>
      </c>
      <c r="L7" s="22">
        <v>0</v>
      </c>
      <c r="M7" s="22">
        <v>0</v>
      </c>
      <c r="N7" s="22">
        <v>0</v>
      </c>
      <c r="O7" s="12">
        <f t="shared" si="0"/>
        <v>267</v>
      </c>
      <c r="P7" s="13">
        <f t="shared" si="1"/>
        <v>17.8</v>
      </c>
      <c r="Q7" s="12">
        <f t="shared" si="2"/>
        <v>46</v>
      </c>
    </row>
    <row r="8" spans="1:18" ht="19.05" customHeight="1">
      <c r="A8" s="7">
        <v>4</v>
      </c>
      <c r="B8" s="8" t="s">
        <v>9</v>
      </c>
      <c r="C8" s="22">
        <v>95</v>
      </c>
      <c r="D8" s="22">
        <v>36</v>
      </c>
      <c r="E8" s="22">
        <v>36</v>
      </c>
      <c r="F8" s="12">
        <v>34</v>
      </c>
      <c r="G8" s="22">
        <v>50</v>
      </c>
      <c r="H8" s="22">
        <v>44</v>
      </c>
      <c r="I8" s="22">
        <v>10</v>
      </c>
      <c r="J8" s="22">
        <v>37</v>
      </c>
      <c r="K8" s="22">
        <v>25</v>
      </c>
      <c r="L8" s="22">
        <v>93</v>
      </c>
      <c r="M8" s="22">
        <v>34</v>
      </c>
      <c r="N8" s="22">
        <v>0</v>
      </c>
      <c r="O8" s="12">
        <f t="shared" si="0"/>
        <v>494</v>
      </c>
      <c r="P8" s="13">
        <f t="shared" si="1"/>
        <v>32.93333333333333</v>
      </c>
      <c r="Q8" s="12">
        <f t="shared" si="2"/>
        <v>28</v>
      </c>
    </row>
    <row r="9" spans="1:18" ht="19.05" customHeight="1">
      <c r="A9" s="7">
        <v>5</v>
      </c>
      <c r="B9" s="8" t="s">
        <v>73</v>
      </c>
      <c r="C9" s="22">
        <v>30</v>
      </c>
      <c r="D9" s="22">
        <v>36</v>
      </c>
      <c r="E9" s="22">
        <v>36</v>
      </c>
      <c r="F9" s="12">
        <v>34</v>
      </c>
      <c r="G9" s="22">
        <v>30</v>
      </c>
      <c r="H9" s="22">
        <v>0</v>
      </c>
      <c r="I9" s="22">
        <v>0</v>
      </c>
      <c r="J9" s="22">
        <v>35</v>
      </c>
      <c r="K9" s="22">
        <v>19</v>
      </c>
      <c r="L9" s="22">
        <v>70</v>
      </c>
      <c r="M9" s="22">
        <v>30</v>
      </c>
      <c r="N9" s="22">
        <v>46</v>
      </c>
      <c r="O9" s="12">
        <f t="shared" si="0"/>
        <v>366</v>
      </c>
      <c r="P9" s="13">
        <f t="shared" si="1"/>
        <v>24.4</v>
      </c>
      <c r="Q9" s="12">
        <f t="shared" si="2"/>
        <v>43</v>
      </c>
    </row>
    <row r="10" spans="1:18" ht="19.05" customHeight="1">
      <c r="A10" s="7">
        <v>6</v>
      </c>
      <c r="B10" s="8" t="s">
        <v>10</v>
      </c>
      <c r="C10" s="22">
        <v>115</v>
      </c>
      <c r="D10" s="22">
        <v>36</v>
      </c>
      <c r="E10" s="22">
        <v>35</v>
      </c>
      <c r="F10" s="12">
        <v>38</v>
      </c>
      <c r="G10" s="22">
        <v>130</v>
      </c>
      <c r="H10" s="22">
        <v>50</v>
      </c>
      <c r="I10" s="22">
        <v>35</v>
      </c>
      <c r="J10" s="22">
        <v>37</v>
      </c>
      <c r="K10" s="22">
        <v>24</v>
      </c>
      <c r="L10" s="22">
        <v>50</v>
      </c>
      <c r="M10" s="22">
        <v>30</v>
      </c>
      <c r="N10" s="22">
        <v>45</v>
      </c>
      <c r="O10" s="12">
        <f t="shared" si="0"/>
        <v>625</v>
      </c>
      <c r="P10" s="13">
        <f t="shared" si="1"/>
        <v>41.666666666666664</v>
      </c>
      <c r="Q10" s="12">
        <f t="shared" si="2"/>
        <v>6</v>
      </c>
    </row>
    <row r="11" spans="1:18" ht="19.05" customHeight="1">
      <c r="A11" s="7">
        <v>7</v>
      </c>
      <c r="B11" s="8" t="s">
        <v>11</v>
      </c>
      <c r="C11" s="22">
        <v>80</v>
      </c>
      <c r="D11" s="22">
        <v>35</v>
      </c>
      <c r="E11" s="22">
        <v>21</v>
      </c>
      <c r="F11" s="12">
        <v>38</v>
      </c>
      <c r="G11" s="22">
        <v>90</v>
      </c>
      <c r="H11" s="22">
        <v>5</v>
      </c>
      <c r="I11" s="22">
        <v>10</v>
      </c>
      <c r="J11" s="22">
        <v>35</v>
      </c>
      <c r="K11" s="22">
        <v>14</v>
      </c>
      <c r="L11" s="22">
        <v>70</v>
      </c>
      <c r="M11" s="22">
        <v>25</v>
      </c>
      <c r="N11" s="22">
        <v>45</v>
      </c>
      <c r="O11" s="12">
        <f t="shared" si="0"/>
        <v>468</v>
      </c>
      <c r="P11" s="13">
        <f t="shared" si="1"/>
        <v>31.2</v>
      </c>
      <c r="Q11" s="12">
        <f t="shared" si="2"/>
        <v>32</v>
      </c>
    </row>
    <row r="12" spans="1:18" ht="19.05" customHeight="1">
      <c r="A12" s="7">
        <v>8</v>
      </c>
      <c r="B12" s="8" t="s">
        <v>12</v>
      </c>
      <c r="C12" s="22">
        <v>130</v>
      </c>
      <c r="D12" s="22">
        <v>36</v>
      </c>
      <c r="E12" s="22">
        <v>37</v>
      </c>
      <c r="F12" s="12">
        <v>38</v>
      </c>
      <c r="G12" s="22">
        <v>145</v>
      </c>
      <c r="H12" s="22">
        <v>50</v>
      </c>
      <c r="I12" s="22">
        <v>36</v>
      </c>
      <c r="J12" s="22">
        <v>36</v>
      </c>
      <c r="K12" s="22">
        <v>25</v>
      </c>
      <c r="L12" s="22">
        <v>96</v>
      </c>
      <c r="M12" s="22">
        <v>37</v>
      </c>
      <c r="N12" s="22">
        <v>45</v>
      </c>
      <c r="O12" s="12">
        <f t="shared" si="0"/>
        <v>711</v>
      </c>
      <c r="P12" s="13">
        <f t="shared" si="1"/>
        <v>47.4</v>
      </c>
      <c r="Q12" s="12">
        <f t="shared" si="2"/>
        <v>1</v>
      </c>
    </row>
    <row r="13" spans="1:18" ht="19.05" customHeight="1">
      <c r="A13" s="7">
        <v>9</v>
      </c>
      <c r="B13" s="8" t="s">
        <v>13</v>
      </c>
      <c r="C13" s="22">
        <v>20</v>
      </c>
      <c r="D13" s="22">
        <v>36</v>
      </c>
      <c r="E13" s="22">
        <v>22</v>
      </c>
      <c r="F13" s="12">
        <v>38</v>
      </c>
      <c r="G13" s="22">
        <v>120</v>
      </c>
      <c r="H13" s="22">
        <v>5</v>
      </c>
      <c r="I13" s="22">
        <v>30</v>
      </c>
      <c r="J13" s="22">
        <v>37</v>
      </c>
      <c r="K13" s="22">
        <v>24</v>
      </c>
      <c r="L13" s="22">
        <v>95</v>
      </c>
      <c r="M13" s="22">
        <v>33</v>
      </c>
      <c r="N13" s="22">
        <v>45</v>
      </c>
      <c r="O13" s="12">
        <f t="shared" si="0"/>
        <v>505</v>
      </c>
      <c r="P13" s="13">
        <f t="shared" si="1"/>
        <v>33.666666666666664</v>
      </c>
      <c r="Q13" s="12">
        <f t="shared" si="2"/>
        <v>24</v>
      </c>
    </row>
    <row r="14" spans="1:18" ht="19.05" customHeight="1">
      <c r="A14" s="7">
        <v>10</v>
      </c>
      <c r="B14" s="8" t="s">
        <v>81</v>
      </c>
      <c r="C14" s="22">
        <v>65</v>
      </c>
      <c r="D14" s="22">
        <v>36</v>
      </c>
      <c r="E14" s="22">
        <v>37</v>
      </c>
      <c r="F14" s="12">
        <v>38</v>
      </c>
      <c r="G14" s="22">
        <v>120</v>
      </c>
      <c r="H14" s="22">
        <v>5</v>
      </c>
      <c r="I14" s="22">
        <v>12</v>
      </c>
      <c r="J14" s="22">
        <v>36</v>
      </c>
      <c r="K14" s="22">
        <v>14</v>
      </c>
      <c r="L14" s="22">
        <v>95</v>
      </c>
      <c r="M14" s="22">
        <v>25</v>
      </c>
      <c r="N14" s="22">
        <v>45</v>
      </c>
      <c r="O14" s="12">
        <f t="shared" si="0"/>
        <v>528</v>
      </c>
      <c r="P14" s="13">
        <f t="shared" si="1"/>
        <v>35.200000000000003</v>
      </c>
      <c r="Q14" s="12">
        <f t="shared" si="2"/>
        <v>19</v>
      </c>
    </row>
    <row r="15" spans="1:18" ht="19.05" customHeight="1">
      <c r="A15" s="7">
        <v>11</v>
      </c>
      <c r="B15" s="8" t="s">
        <v>15</v>
      </c>
      <c r="C15" s="22">
        <v>120</v>
      </c>
      <c r="D15" s="22">
        <v>36</v>
      </c>
      <c r="E15" s="22">
        <v>36</v>
      </c>
      <c r="F15" s="12">
        <v>34</v>
      </c>
      <c r="G15" s="22">
        <v>30</v>
      </c>
      <c r="H15" s="22">
        <v>16</v>
      </c>
      <c r="I15" s="22">
        <v>12</v>
      </c>
      <c r="J15" s="22">
        <v>36</v>
      </c>
      <c r="K15" s="22">
        <v>24</v>
      </c>
      <c r="L15" s="22">
        <v>70</v>
      </c>
      <c r="M15" s="22">
        <v>30</v>
      </c>
      <c r="N15" s="22">
        <v>0</v>
      </c>
      <c r="O15" s="12">
        <f t="shared" si="0"/>
        <v>444</v>
      </c>
      <c r="P15" s="13">
        <f t="shared" si="1"/>
        <v>29.6</v>
      </c>
      <c r="Q15" s="12">
        <f t="shared" si="2"/>
        <v>35</v>
      </c>
    </row>
    <row r="16" spans="1:18" ht="19.05" customHeight="1">
      <c r="A16" s="7">
        <v>12</v>
      </c>
      <c r="B16" s="8" t="s">
        <v>74</v>
      </c>
      <c r="C16" s="22">
        <v>120</v>
      </c>
      <c r="D16" s="22">
        <v>36</v>
      </c>
      <c r="E16" s="22">
        <v>36</v>
      </c>
      <c r="F16" s="12">
        <v>38</v>
      </c>
      <c r="G16" s="22">
        <v>120</v>
      </c>
      <c r="H16" s="22">
        <v>5</v>
      </c>
      <c r="I16" s="22">
        <v>36</v>
      </c>
      <c r="J16" s="22">
        <v>37</v>
      </c>
      <c r="K16" s="22">
        <v>24</v>
      </c>
      <c r="L16" s="22">
        <v>95</v>
      </c>
      <c r="M16" s="22">
        <v>30</v>
      </c>
      <c r="N16" s="22">
        <v>45</v>
      </c>
      <c r="O16" s="12">
        <f t="shared" si="0"/>
        <v>622</v>
      </c>
      <c r="P16" s="13">
        <f t="shared" si="1"/>
        <v>41.466666666666669</v>
      </c>
      <c r="Q16" s="12">
        <f t="shared" si="2"/>
        <v>8</v>
      </c>
    </row>
    <row r="17" spans="1:17" ht="19.05" customHeight="1">
      <c r="A17" s="7">
        <v>13</v>
      </c>
      <c r="B17" s="8" t="s">
        <v>16</v>
      </c>
      <c r="C17" s="22">
        <v>80</v>
      </c>
      <c r="D17" s="22">
        <v>36</v>
      </c>
      <c r="E17" s="22">
        <v>20</v>
      </c>
      <c r="F17" s="12">
        <v>34</v>
      </c>
      <c r="G17" s="22">
        <v>50</v>
      </c>
      <c r="H17" s="22">
        <v>8</v>
      </c>
      <c r="I17" s="22">
        <v>10</v>
      </c>
      <c r="J17" s="22">
        <v>36</v>
      </c>
      <c r="K17" s="22">
        <v>24</v>
      </c>
      <c r="L17" s="22">
        <v>60</v>
      </c>
      <c r="M17" s="22">
        <v>30</v>
      </c>
      <c r="N17" s="22">
        <v>48</v>
      </c>
      <c r="O17" s="12">
        <f t="shared" si="0"/>
        <v>436</v>
      </c>
      <c r="P17" s="13">
        <f t="shared" si="1"/>
        <v>29.066666666666666</v>
      </c>
      <c r="Q17" s="12">
        <f t="shared" si="2"/>
        <v>37</v>
      </c>
    </row>
    <row r="18" spans="1:17" ht="19.05" customHeight="1">
      <c r="A18" s="7">
        <v>14</v>
      </c>
      <c r="B18" s="8" t="s">
        <v>17</v>
      </c>
      <c r="C18" s="22">
        <v>20</v>
      </c>
      <c r="D18" s="22">
        <v>36</v>
      </c>
      <c r="E18" s="22">
        <v>35</v>
      </c>
      <c r="F18" s="12">
        <v>34</v>
      </c>
      <c r="G18" s="22">
        <v>30</v>
      </c>
      <c r="H18" s="22">
        <v>5</v>
      </c>
      <c r="I18" s="22">
        <v>36</v>
      </c>
      <c r="J18" s="22">
        <v>36</v>
      </c>
      <c r="K18" s="22">
        <v>24</v>
      </c>
      <c r="L18" s="22">
        <v>85</v>
      </c>
      <c r="M18" s="22">
        <v>37</v>
      </c>
      <c r="N18" s="22">
        <v>0</v>
      </c>
      <c r="O18" s="12">
        <f t="shared" si="0"/>
        <v>378</v>
      </c>
      <c r="P18" s="13">
        <f t="shared" si="1"/>
        <v>25.2</v>
      </c>
      <c r="Q18" s="12">
        <f t="shared" si="2"/>
        <v>42</v>
      </c>
    </row>
    <row r="19" spans="1:17" ht="19.05" customHeight="1">
      <c r="A19" s="7">
        <v>15</v>
      </c>
      <c r="B19" s="8" t="s">
        <v>82</v>
      </c>
      <c r="C19" s="22">
        <v>80</v>
      </c>
      <c r="D19" s="22">
        <v>35</v>
      </c>
      <c r="E19" s="22">
        <v>20</v>
      </c>
      <c r="F19" s="12">
        <v>34</v>
      </c>
      <c r="G19" s="22">
        <v>100</v>
      </c>
      <c r="H19" s="22">
        <v>5</v>
      </c>
      <c r="I19" s="22">
        <v>10</v>
      </c>
      <c r="J19" s="22">
        <v>37</v>
      </c>
      <c r="K19" s="22">
        <v>24</v>
      </c>
      <c r="L19" s="22">
        <v>70</v>
      </c>
      <c r="M19" s="22">
        <v>25</v>
      </c>
      <c r="N19" s="22">
        <v>47</v>
      </c>
      <c r="O19" s="12">
        <f t="shared" si="0"/>
        <v>487</v>
      </c>
      <c r="P19" s="13">
        <f t="shared" si="1"/>
        <v>32.466666666666669</v>
      </c>
      <c r="Q19" s="12">
        <f t="shared" si="2"/>
        <v>31</v>
      </c>
    </row>
    <row r="20" spans="1:17" ht="19.05" customHeight="1">
      <c r="A20" s="7">
        <v>16</v>
      </c>
      <c r="B20" s="8" t="s">
        <v>18</v>
      </c>
      <c r="C20" s="22">
        <v>110</v>
      </c>
      <c r="D20" s="22">
        <v>36</v>
      </c>
      <c r="E20" s="22">
        <v>36</v>
      </c>
      <c r="F20" s="12">
        <v>38</v>
      </c>
      <c r="G20" s="22">
        <v>120</v>
      </c>
      <c r="H20" s="22">
        <v>5</v>
      </c>
      <c r="I20" s="22">
        <v>37</v>
      </c>
      <c r="J20" s="22">
        <v>37</v>
      </c>
      <c r="K20" s="22">
        <v>24</v>
      </c>
      <c r="L20" s="22">
        <v>95</v>
      </c>
      <c r="M20" s="22">
        <v>37</v>
      </c>
      <c r="N20" s="22">
        <v>45</v>
      </c>
      <c r="O20" s="12">
        <f t="shared" si="0"/>
        <v>620</v>
      </c>
      <c r="P20" s="13">
        <f t="shared" si="1"/>
        <v>41.333333333333336</v>
      </c>
      <c r="Q20" s="12">
        <f t="shared" si="2"/>
        <v>9</v>
      </c>
    </row>
    <row r="21" spans="1:17" ht="19.05" customHeight="1">
      <c r="A21" s="7">
        <v>17</v>
      </c>
      <c r="B21" s="8" t="s">
        <v>19</v>
      </c>
      <c r="C21" s="22">
        <v>110</v>
      </c>
      <c r="D21" s="22">
        <v>36</v>
      </c>
      <c r="E21" s="22">
        <v>37</v>
      </c>
      <c r="F21" s="12">
        <v>38</v>
      </c>
      <c r="G21" s="22">
        <v>145</v>
      </c>
      <c r="H21" s="22">
        <v>45</v>
      </c>
      <c r="I21" s="22">
        <v>10</v>
      </c>
      <c r="J21" s="22">
        <v>36</v>
      </c>
      <c r="K21" s="22">
        <v>25</v>
      </c>
      <c r="L21" s="22">
        <v>95</v>
      </c>
      <c r="M21" s="22">
        <v>37</v>
      </c>
      <c r="N21" s="22">
        <v>45</v>
      </c>
      <c r="O21" s="12">
        <f t="shared" si="0"/>
        <v>659</v>
      </c>
      <c r="P21" s="13">
        <f t="shared" si="1"/>
        <v>43.93333333333333</v>
      </c>
      <c r="Q21" s="12">
        <f t="shared" si="2"/>
        <v>2</v>
      </c>
    </row>
    <row r="22" spans="1:17" ht="19.05" customHeight="1">
      <c r="A22" s="7">
        <v>18</v>
      </c>
      <c r="B22" s="8" t="s">
        <v>20</v>
      </c>
      <c r="C22" s="22">
        <v>35</v>
      </c>
      <c r="D22" s="22">
        <v>36</v>
      </c>
      <c r="E22" s="22">
        <v>21</v>
      </c>
      <c r="F22" s="12">
        <v>34</v>
      </c>
      <c r="G22" s="22">
        <v>100</v>
      </c>
      <c r="H22" s="22">
        <v>5</v>
      </c>
      <c r="I22" s="22">
        <v>37</v>
      </c>
      <c r="J22" s="22">
        <v>36</v>
      </c>
      <c r="K22" s="22">
        <v>24</v>
      </c>
      <c r="L22" s="22">
        <v>70</v>
      </c>
      <c r="M22" s="22">
        <v>25</v>
      </c>
      <c r="N22" s="22">
        <v>45</v>
      </c>
      <c r="O22" s="12">
        <f t="shared" si="0"/>
        <v>468</v>
      </c>
      <c r="P22" s="13">
        <f t="shared" si="1"/>
        <v>31.2</v>
      </c>
      <c r="Q22" s="12">
        <f t="shared" si="2"/>
        <v>32</v>
      </c>
    </row>
    <row r="23" spans="1:17" ht="19.05" customHeight="1">
      <c r="A23" s="7">
        <v>19</v>
      </c>
      <c r="B23" s="8" t="s">
        <v>22</v>
      </c>
      <c r="C23" s="22">
        <v>90</v>
      </c>
      <c r="D23" s="22">
        <v>36</v>
      </c>
      <c r="E23" s="22">
        <v>21</v>
      </c>
      <c r="F23" s="12">
        <v>38</v>
      </c>
      <c r="G23" s="22">
        <v>110</v>
      </c>
      <c r="H23" s="22">
        <v>5</v>
      </c>
      <c r="I23" s="22">
        <v>10</v>
      </c>
      <c r="J23" s="22">
        <v>37</v>
      </c>
      <c r="K23" s="22">
        <v>14</v>
      </c>
      <c r="L23" s="22">
        <v>69</v>
      </c>
      <c r="M23" s="22">
        <v>30</v>
      </c>
      <c r="N23" s="22">
        <v>45</v>
      </c>
      <c r="O23" s="12">
        <f t="shared" si="0"/>
        <v>505</v>
      </c>
      <c r="P23" s="13">
        <f t="shared" si="1"/>
        <v>33.666666666666664</v>
      </c>
      <c r="Q23" s="12">
        <f t="shared" si="2"/>
        <v>24</v>
      </c>
    </row>
    <row r="24" spans="1:17" ht="19.05" customHeight="1">
      <c r="A24" s="7">
        <v>20</v>
      </c>
      <c r="B24" s="8" t="s">
        <v>23</v>
      </c>
      <c r="C24" s="22">
        <v>110</v>
      </c>
      <c r="D24" s="22">
        <v>35</v>
      </c>
      <c r="E24" s="22">
        <v>36</v>
      </c>
      <c r="F24" s="12">
        <v>38</v>
      </c>
      <c r="G24" s="22">
        <v>120</v>
      </c>
      <c r="H24" s="22">
        <v>10</v>
      </c>
      <c r="I24" s="22">
        <v>37</v>
      </c>
      <c r="J24" s="22">
        <v>36</v>
      </c>
      <c r="K24" s="22">
        <v>24</v>
      </c>
      <c r="L24" s="22">
        <v>95</v>
      </c>
      <c r="M24" s="22">
        <v>34</v>
      </c>
      <c r="N24" s="22">
        <v>45</v>
      </c>
      <c r="O24" s="12">
        <f t="shared" si="0"/>
        <v>620</v>
      </c>
      <c r="P24" s="13">
        <f t="shared" si="1"/>
        <v>41.333333333333336</v>
      </c>
      <c r="Q24" s="12">
        <f t="shared" si="2"/>
        <v>9</v>
      </c>
    </row>
    <row r="25" spans="1:17" ht="19.05" customHeight="1">
      <c r="A25" s="7">
        <v>21</v>
      </c>
      <c r="B25" s="8" t="s">
        <v>24</v>
      </c>
      <c r="C25" s="22">
        <v>70</v>
      </c>
      <c r="D25" s="22">
        <v>36</v>
      </c>
      <c r="E25" s="22">
        <v>36</v>
      </c>
      <c r="F25" s="12">
        <v>38</v>
      </c>
      <c r="G25" s="22">
        <v>120</v>
      </c>
      <c r="H25" s="22">
        <v>5</v>
      </c>
      <c r="I25" s="22">
        <v>37</v>
      </c>
      <c r="J25" s="22">
        <v>37</v>
      </c>
      <c r="K25" s="22">
        <v>24</v>
      </c>
      <c r="L25" s="22">
        <v>96</v>
      </c>
      <c r="M25" s="22">
        <v>37</v>
      </c>
      <c r="N25" s="22">
        <v>45</v>
      </c>
      <c r="O25" s="12">
        <f t="shared" si="0"/>
        <v>581</v>
      </c>
      <c r="P25" s="13">
        <f t="shared" si="1"/>
        <v>38.733333333333334</v>
      </c>
      <c r="Q25" s="12">
        <f t="shared" si="2"/>
        <v>16</v>
      </c>
    </row>
    <row r="26" spans="1:17" ht="19.05" customHeight="1">
      <c r="A26" s="7">
        <v>22</v>
      </c>
      <c r="B26" s="8" t="s">
        <v>25</v>
      </c>
      <c r="C26" s="22">
        <v>110</v>
      </c>
      <c r="D26" s="22">
        <v>36</v>
      </c>
      <c r="E26" s="22">
        <v>21</v>
      </c>
      <c r="F26" s="12">
        <v>34</v>
      </c>
      <c r="G26" s="22">
        <v>90</v>
      </c>
      <c r="H26" s="22">
        <v>5</v>
      </c>
      <c r="I26" s="22">
        <v>10</v>
      </c>
      <c r="J26" s="22">
        <v>36</v>
      </c>
      <c r="K26" s="22">
        <v>0</v>
      </c>
      <c r="L26" s="22">
        <v>95</v>
      </c>
      <c r="M26" s="22">
        <v>30</v>
      </c>
      <c r="N26" s="22">
        <v>47</v>
      </c>
      <c r="O26" s="12">
        <f t="shared" si="0"/>
        <v>514</v>
      </c>
      <c r="P26" s="13">
        <f t="shared" si="1"/>
        <v>34.266666666666666</v>
      </c>
      <c r="Q26" s="12">
        <f t="shared" si="2"/>
        <v>21</v>
      </c>
    </row>
    <row r="27" spans="1:17" ht="19.05" customHeight="1">
      <c r="A27" s="7">
        <v>23</v>
      </c>
      <c r="B27" s="8" t="s">
        <v>26</v>
      </c>
      <c r="C27" s="22">
        <v>90</v>
      </c>
      <c r="D27" s="22">
        <v>36</v>
      </c>
      <c r="E27" s="22">
        <v>37</v>
      </c>
      <c r="F27" s="12">
        <v>38</v>
      </c>
      <c r="G27" s="22">
        <v>145</v>
      </c>
      <c r="H27" s="22">
        <v>10</v>
      </c>
      <c r="I27" s="22">
        <v>10</v>
      </c>
      <c r="J27" s="22">
        <v>37</v>
      </c>
      <c r="K27" s="22">
        <v>25</v>
      </c>
      <c r="L27" s="22">
        <v>94</v>
      </c>
      <c r="M27" s="22">
        <v>37</v>
      </c>
      <c r="N27" s="22">
        <v>45</v>
      </c>
      <c r="O27" s="12">
        <f t="shared" si="0"/>
        <v>604</v>
      </c>
      <c r="P27" s="13">
        <f t="shared" si="1"/>
        <v>40.266666666666666</v>
      </c>
      <c r="Q27" s="12">
        <f t="shared" si="2"/>
        <v>14</v>
      </c>
    </row>
    <row r="28" spans="1:17" ht="19.05" customHeight="1">
      <c r="A28" s="7">
        <v>24</v>
      </c>
      <c r="B28" s="8" t="s">
        <v>27</v>
      </c>
      <c r="C28" s="22">
        <v>120</v>
      </c>
      <c r="D28" s="22">
        <v>35</v>
      </c>
      <c r="E28" s="22">
        <v>36</v>
      </c>
      <c r="F28" s="12">
        <v>38</v>
      </c>
      <c r="G28" s="22">
        <v>120</v>
      </c>
      <c r="H28" s="22">
        <v>5</v>
      </c>
      <c r="I28" s="22">
        <v>10</v>
      </c>
      <c r="J28" s="22">
        <v>35</v>
      </c>
      <c r="K28" s="22">
        <v>24</v>
      </c>
      <c r="L28" s="22">
        <v>96</v>
      </c>
      <c r="M28" s="22">
        <v>25</v>
      </c>
      <c r="N28" s="22">
        <v>45</v>
      </c>
      <c r="O28" s="12">
        <f t="shared" si="0"/>
        <v>589</v>
      </c>
      <c r="P28" s="13">
        <f t="shared" si="1"/>
        <v>39.266666666666666</v>
      </c>
      <c r="Q28" s="12">
        <f t="shared" si="2"/>
        <v>15</v>
      </c>
    </row>
    <row r="29" spans="1:17" ht="19.05" customHeight="1">
      <c r="A29" s="7">
        <v>25</v>
      </c>
      <c r="B29" s="8" t="s">
        <v>28</v>
      </c>
      <c r="C29" s="22">
        <v>70</v>
      </c>
      <c r="D29" s="22">
        <v>36</v>
      </c>
      <c r="E29" s="22">
        <v>37</v>
      </c>
      <c r="F29" s="12">
        <v>38</v>
      </c>
      <c r="G29" s="22">
        <v>120</v>
      </c>
      <c r="H29" s="22">
        <v>5</v>
      </c>
      <c r="I29" s="22">
        <v>37</v>
      </c>
      <c r="J29" s="22">
        <v>36</v>
      </c>
      <c r="K29" s="22">
        <v>24</v>
      </c>
      <c r="L29" s="22">
        <v>94</v>
      </c>
      <c r="M29" s="22">
        <v>34</v>
      </c>
      <c r="N29" s="22">
        <v>45</v>
      </c>
      <c r="O29" s="12">
        <f t="shared" si="0"/>
        <v>576</v>
      </c>
      <c r="P29" s="13">
        <f t="shared" si="1"/>
        <v>38.4</v>
      </c>
      <c r="Q29" s="12">
        <f t="shared" si="2"/>
        <v>17</v>
      </c>
    </row>
    <row r="30" spans="1:17" ht="19.05" customHeight="1">
      <c r="A30" s="7">
        <v>26</v>
      </c>
      <c r="B30" s="8" t="s">
        <v>29</v>
      </c>
      <c r="C30" s="22">
        <v>100</v>
      </c>
      <c r="D30" s="22">
        <v>36</v>
      </c>
      <c r="E30" s="22">
        <v>37</v>
      </c>
      <c r="F30" s="12">
        <v>38</v>
      </c>
      <c r="G30" s="22">
        <v>145</v>
      </c>
      <c r="H30" s="22">
        <v>10</v>
      </c>
      <c r="I30" s="22">
        <v>36</v>
      </c>
      <c r="J30" s="22">
        <v>35</v>
      </c>
      <c r="K30" s="22">
        <v>24</v>
      </c>
      <c r="L30" s="22">
        <v>80</v>
      </c>
      <c r="M30" s="22">
        <v>37</v>
      </c>
      <c r="N30" s="22">
        <v>45</v>
      </c>
      <c r="O30" s="12">
        <f t="shared" si="0"/>
        <v>623</v>
      </c>
      <c r="P30" s="13">
        <f t="shared" si="1"/>
        <v>41.533333333333331</v>
      </c>
      <c r="Q30" s="12">
        <f t="shared" si="2"/>
        <v>7</v>
      </c>
    </row>
    <row r="31" spans="1:17" ht="19.05" customHeight="1">
      <c r="A31" s="7">
        <v>27</v>
      </c>
      <c r="B31" s="8" t="s">
        <v>30</v>
      </c>
      <c r="C31" s="22">
        <v>50</v>
      </c>
      <c r="D31" s="22">
        <v>35</v>
      </c>
      <c r="E31" s="22">
        <v>20</v>
      </c>
      <c r="F31" s="12">
        <v>34</v>
      </c>
      <c r="G31" s="22">
        <v>90</v>
      </c>
      <c r="H31" s="22">
        <v>5</v>
      </c>
      <c r="I31" s="22">
        <v>35</v>
      </c>
      <c r="J31" s="22">
        <v>35</v>
      </c>
      <c r="K31" s="22">
        <v>14</v>
      </c>
      <c r="L31" s="22">
        <v>55</v>
      </c>
      <c r="M31" s="22">
        <v>30</v>
      </c>
      <c r="N31" s="22">
        <v>45</v>
      </c>
      <c r="O31" s="12">
        <f t="shared" si="0"/>
        <v>448</v>
      </c>
      <c r="P31" s="13">
        <f t="shared" si="1"/>
        <v>29.866666666666667</v>
      </c>
      <c r="Q31" s="12">
        <f t="shared" si="2"/>
        <v>34</v>
      </c>
    </row>
    <row r="32" spans="1:17" ht="19.05" customHeight="1">
      <c r="A32" s="7">
        <v>28</v>
      </c>
      <c r="B32" s="8" t="s">
        <v>31</v>
      </c>
      <c r="C32" s="22">
        <v>60</v>
      </c>
      <c r="D32" s="22">
        <v>36</v>
      </c>
      <c r="E32" s="22">
        <v>22</v>
      </c>
      <c r="F32" s="12">
        <v>38</v>
      </c>
      <c r="G32" s="22">
        <v>100</v>
      </c>
      <c r="H32" s="22">
        <v>5</v>
      </c>
      <c r="I32" s="22">
        <v>36</v>
      </c>
      <c r="J32" s="22">
        <v>0</v>
      </c>
      <c r="K32" s="22">
        <v>24</v>
      </c>
      <c r="L32" s="22">
        <v>90</v>
      </c>
      <c r="M32" s="22">
        <v>34</v>
      </c>
      <c r="N32" s="22">
        <v>45</v>
      </c>
      <c r="O32" s="12">
        <f t="shared" si="0"/>
        <v>490</v>
      </c>
      <c r="P32" s="13">
        <f t="shared" si="1"/>
        <v>32.666666666666664</v>
      </c>
      <c r="Q32" s="12">
        <f t="shared" si="2"/>
        <v>29</v>
      </c>
    </row>
    <row r="33" spans="1:17" ht="19.05" customHeight="1">
      <c r="A33" s="7">
        <v>29</v>
      </c>
      <c r="B33" s="8" t="s">
        <v>32</v>
      </c>
      <c r="C33" s="22">
        <v>80</v>
      </c>
      <c r="D33" s="22">
        <v>35</v>
      </c>
      <c r="E33" s="22">
        <v>22</v>
      </c>
      <c r="F33" s="12">
        <v>34</v>
      </c>
      <c r="G33" s="22">
        <v>30</v>
      </c>
      <c r="H33" s="22">
        <v>5</v>
      </c>
      <c r="I33" s="22">
        <v>12</v>
      </c>
      <c r="J33" s="22">
        <v>0</v>
      </c>
      <c r="K33" s="22">
        <v>19</v>
      </c>
      <c r="L33" s="22">
        <v>65</v>
      </c>
      <c r="M33" s="22">
        <v>25</v>
      </c>
      <c r="N33" s="22">
        <v>0</v>
      </c>
      <c r="O33" s="12">
        <f t="shared" si="0"/>
        <v>327</v>
      </c>
      <c r="P33" s="13">
        <f t="shared" si="1"/>
        <v>21.8</v>
      </c>
      <c r="Q33" s="12">
        <f t="shared" si="2"/>
        <v>44</v>
      </c>
    </row>
    <row r="34" spans="1:17" ht="19.05" customHeight="1">
      <c r="A34" s="7">
        <v>30</v>
      </c>
      <c r="B34" s="8" t="s">
        <v>33</v>
      </c>
      <c r="C34" s="22">
        <v>20</v>
      </c>
      <c r="D34" s="22">
        <v>0</v>
      </c>
      <c r="E34" s="22">
        <v>33</v>
      </c>
      <c r="F34" s="12">
        <v>34</v>
      </c>
      <c r="G34" s="22">
        <v>30</v>
      </c>
      <c r="H34" s="22">
        <v>5</v>
      </c>
      <c r="I34" s="22">
        <v>10</v>
      </c>
      <c r="J34" s="22">
        <v>37</v>
      </c>
      <c r="K34" s="22">
        <v>14</v>
      </c>
      <c r="L34" s="22">
        <v>65</v>
      </c>
      <c r="M34" s="22">
        <v>25</v>
      </c>
      <c r="N34" s="22">
        <v>46</v>
      </c>
      <c r="O34" s="12">
        <f t="shared" si="0"/>
        <v>319</v>
      </c>
      <c r="P34" s="13">
        <f t="shared" si="1"/>
        <v>21.266666666666666</v>
      </c>
      <c r="Q34" s="12">
        <f t="shared" si="2"/>
        <v>45</v>
      </c>
    </row>
    <row r="35" spans="1:17" ht="19.05" customHeight="1">
      <c r="A35" s="7">
        <v>31</v>
      </c>
      <c r="B35" s="8" t="s">
        <v>34</v>
      </c>
      <c r="C35" s="22">
        <v>90</v>
      </c>
      <c r="D35" s="22">
        <v>36</v>
      </c>
      <c r="E35" s="22">
        <v>36</v>
      </c>
      <c r="F35" s="12">
        <v>34</v>
      </c>
      <c r="G35" s="22">
        <v>30</v>
      </c>
      <c r="H35" s="22">
        <v>5</v>
      </c>
      <c r="I35" s="22">
        <v>10</v>
      </c>
      <c r="J35" s="22">
        <v>37</v>
      </c>
      <c r="K35" s="22">
        <v>19</v>
      </c>
      <c r="L35" s="22">
        <v>60</v>
      </c>
      <c r="M35" s="22">
        <v>30</v>
      </c>
      <c r="N35" s="22">
        <v>0</v>
      </c>
      <c r="O35" s="12">
        <f t="shared" si="0"/>
        <v>387</v>
      </c>
      <c r="P35" s="13">
        <f t="shared" si="1"/>
        <v>25.8</v>
      </c>
      <c r="Q35" s="12">
        <f t="shared" si="2"/>
        <v>40</v>
      </c>
    </row>
    <row r="36" spans="1:17" ht="19.05" customHeight="1">
      <c r="A36" s="7">
        <v>32</v>
      </c>
      <c r="B36" s="8" t="s">
        <v>35</v>
      </c>
      <c r="C36" s="22">
        <v>80</v>
      </c>
      <c r="D36" s="22">
        <v>35</v>
      </c>
      <c r="E36" s="22">
        <v>20</v>
      </c>
      <c r="F36" s="12">
        <v>38</v>
      </c>
      <c r="G36" s="22">
        <v>110</v>
      </c>
      <c r="H36" s="22">
        <v>5</v>
      </c>
      <c r="I36" s="22">
        <v>12</v>
      </c>
      <c r="J36" s="22">
        <v>37</v>
      </c>
      <c r="K36" s="22">
        <v>14</v>
      </c>
      <c r="L36" s="22">
        <v>69</v>
      </c>
      <c r="M36" s="22">
        <v>25</v>
      </c>
      <c r="N36" s="22">
        <v>45</v>
      </c>
      <c r="O36" s="12">
        <f t="shared" si="0"/>
        <v>490</v>
      </c>
      <c r="P36" s="13">
        <f t="shared" si="1"/>
        <v>32.666666666666664</v>
      </c>
      <c r="Q36" s="12">
        <f t="shared" si="2"/>
        <v>29</v>
      </c>
    </row>
    <row r="37" spans="1:17" ht="19.05" customHeight="1">
      <c r="A37" s="7">
        <v>33</v>
      </c>
      <c r="B37" s="8" t="s">
        <v>36</v>
      </c>
      <c r="C37" s="22">
        <v>120</v>
      </c>
      <c r="D37" s="22">
        <v>35</v>
      </c>
      <c r="E37" s="22">
        <v>36</v>
      </c>
      <c r="F37" s="12">
        <v>38</v>
      </c>
      <c r="G37" s="22">
        <v>140</v>
      </c>
      <c r="H37" s="22">
        <v>20</v>
      </c>
      <c r="I37" s="22">
        <v>10</v>
      </c>
      <c r="J37" s="22">
        <v>37</v>
      </c>
      <c r="K37" s="22">
        <v>24</v>
      </c>
      <c r="L37" s="22">
        <v>95</v>
      </c>
      <c r="M37" s="22">
        <v>37</v>
      </c>
      <c r="N37" s="22">
        <v>45</v>
      </c>
      <c r="O37" s="12">
        <f t="shared" ref="O37:O54" si="3">SUM(C37,D37,E37,F37,G37,H37,I37,J37,K37,L37,M37,N37)</f>
        <v>637</v>
      </c>
      <c r="P37" s="13">
        <f t="shared" si="1"/>
        <v>42.466666666666669</v>
      </c>
      <c r="Q37" s="12">
        <f t="shared" si="2"/>
        <v>5</v>
      </c>
    </row>
    <row r="38" spans="1:17" ht="19.05" customHeight="1">
      <c r="A38" s="7">
        <v>34</v>
      </c>
      <c r="B38" s="8" t="s">
        <v>37</v>
      </c>
      <c r="C38" s="22">
        <v>100</v>
      </c>
      <c r="D38" s="22">
        <v>35</v>
      </c>
      <c r="E38" s="22">
        <v>22</v>
      </c>
      <c r="F38" s="12">
        <v>34</v>
      </c>
      <c r="G38" s="22">
        <v>30</v>
      </c>
      <c r="H38" s="22">
        <v>8</v>
      </c>
      <c r="I38" s="22">
        <v>12</v>
      </c>
      <c r="J38" s="22">
        <v>36</v>
      </c>
      <c r="K38" s="22">
        <v>14</v>
      </c>
      <c r="L38" s="22">
        <v>60</v>
      </c>
      <c r="M38" s="22">
        <v>30</v>
      </c>
      <c r="N38" s="22">
        <v>0</v>
      </c>
      <c r="O38" s="12">
        <f t="shared" si="3"/>
        <v>381</v>
      </c>
      <c r="P38" s="13">
        <f t="shared" si="1"/>
        <v>25.4</v>
      </c>
      <c r="Q38" s="12">
        <f t="shared" si="2"/>
        <v>41</v>
      </c>
    </row>
    <row r="39" spans="1:17" ht="19.05" customHeight="1">
      <c r="A39" s="7">
        <v>35</v>
      </c>
      <c r="B39" s="8" t="s">
        <v>38</v>
      </c>
      <c r="C39" s="22">
        <v>90</v>
      </c>
      <c r="D39" s="22">
        <v>35</v>
      </c>
      <c r="E39" s="22">
        <v>18</v>
      </c>
      <c r="F39" s="12">
        <v>38</v>
      </c>
      <c r="G39" s="22">
        <v>110</v>
      </c>
      <c r="H39" s="22">
        <v>5</v>
      </c>
      <c r="I39" s="22">
        <v>10</v>
      </c>
      <c r="J39" s="22">
        <v>37</v>
      </c>
      <c r="K39" s="22">
        <v>22</v>
      </c>
      <c r="L39" s="22">
        <v>50</v>
      </c>
      <c r="M39" s="22">
        <v>37</v>
      </c>
      <c r="N39" s="22">
        <v>47</v>
      </c>
      <c r="O39" s="12">
        <f t="shared" si="3"/>
        <v>499</v>
      </c>
      <c r="P39" s="13">
        <f t="shared" si="1"/>
        <v>33.266666666666666</v>
      </c>
      <c r="Q39" s="12">
        <f t="shared" si="2"/>
        <v>26</v>
      </c>
    </row>
    <row r="40" spans="1:17" ht="19.05" customHeight="1">
      <c r="A40" s="7">
        <v>36</v>
      </c>
      <c r="B40" s="8" t="s">
        <v>39</v>
      </c>
      <c r="C40" s="22">
        <v>0</v>
      </c>
      <c r="D40" s="22">
        <v>0</v>
      </c>
      <c r="E40" s="22">
        <v>0</v>
      </c>
      <c r="F40" s="12">
        <v>34</v>
      </c>
      <c r="G40" s="22">
        <v>20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25</v>
      </c>
      <c r="N40" s="22">
        <v>0</v>
      </c>
      <c r="O40" s="12">
        <f t="shared" si="3"/>
        <v>79</v>
      </c>
      <c r="P40" s="13">
        <f t="shared" si="1"/>
        <v>5.2666666666666666</v>
      </c>
      <c r="Q40" s="12">
        <f t="shared" si="2"/>
        <v>48</v>
      </c>
    </row>
    <row r="41" spans="1:17" ht="19.05" customHeight="1">
      <c r="A41" s="7">
        <v>37</v>
      </c>
      <c r="B41" s="8" t="s">
        <v>40</v>
      </c>
      <c r="C41" s="22">
        <v>100</v>
      </c>
      <c r="D41" s="22">
        <v>35</v>
      </c>
      <c r="E41" s="22">
        <v>22</v>
      </c>
      <c r="F41" s="12">
        <v>38</v>
      </c>
      <c r="G41" s="22">
        <v>110</v>
      </c>
      <c r="H41" s="22">
        <v>5</v>
      </c>
      <c r="I41" s="22">
        <v>12</v>
      </c>
      <c r="J41" s="22">
        <v>36</v>
      </c>
      <c r="K41" s="22">
        <v>24</v>
      </c>
      <c r="L41" s="22">
        <v>95</v>
      </c>
      <c r="M41" s="22">
        <v>25</v>
      </c>
      <c r="N41" s="22">
        <v>45</v>
      </c>
      <c r="O41" s="12">
        <f t="shared" si="3"/>
        <v>547</v>
      </c>
      <c r="P41" s="13">
        <f t="shared" si="1"/>
        <v>36.466666666666669</v>
      </c>
      <c r="Q41" s="12">
        <f t="shared" si="2"/>
        <v>18</v>
      </c>
    </row>
    <row r="42" spans="1:17" ht="19.05" customHeight="1">
      <c r="A42" s="7">
        <v>38</v>
      </c>
      <c r="B42" s="8" t="s">
        <v>41</v>
      </c>
      <c r="C42" s="22">
        <v>90</v>
      </c>
      <c r="D42" s="22">
        <v>36</v>
      </c>
      <c r="E42" s="22">
        <v>20</v>
      </c>
      <c r="F42" s="12">
        <v>34</v>
      </c>
      <c r="G42" s="22">
        <v>30</v>
      </c>
      <c r="H42" s="22">
        <v>5</v>
      </c>
      <c r="I42" s="22">
        <v>12</v>
      </c>
      <c r="J42" s="22">
        <v>36</v>
      </c>
      <c r="K42" s="22">
        <v>24</v>
      </c>
      <c r="L42" s="22">
        <v>68</v>
      </c>
      <c r="M42" s="22">
        <v>34</v>
      </c>
      <c r="N42" s="22">
        <v>0</v>
      </c>
      <c r="O42" s="12">
        <f t="shared" si="3"/>
        <v>389</v>
      </c>
      <c r="P42" s="13">
        <f t="shared" si="1"/>
        <v>25.933333333333334</v>
      </c>
      <c r="Q42" s="12">
        <f t="shared" si="2"/>
        <v>39</v>
      </c>
    </row>
    <row r="43" spans="1:17" ht="19.05" customHeight="1">
      <c r="A43" s="7">
        <v>39</v>
      </c>
      <c r="B43" s="8" t="s">
        <v>42</v>
      </c>
      <c r="C43" s="22">
        <v>120</v>
      </c>
      <c r="D43" s="22">
        <v>36</v>
      </c>
      <c r="E43" s="22">
        <v>37</v>
      </c>
      <c r="F43" s="12">
        <v>38</v>
      </c>
      <c r="G43" s="22">
        <v>145</v>
      </c>
      <c r="H43" s="22">
        <v>5</v>
      </c>
      <c r="I43" s="22">
        <v>30</v>
      </c>
      <c r="J43" s="22">
        <v>36</v>
      </c>
      <c r="K43" s="22">
        <v>24</v>
      </c>
      <c r="L43" s="22">
        <v>94</v>
      </c>
      <c r="M43" s="22">
        <v>37</v>
      </c>
      <c r="N43" s="22">
        <v>45</v>
      </c>
      <c r="O43" s="12">
        <f t="shared" si="3"/>
        <v>647</v>
      </c>
      <c r="P43" s="13">
        <f t="shared" si="1"/>
        <v>43.133333333333333</v>
      </c>
      <c r="Q43" s="12">
        <f t="shared" si="2"/>
        <v>3</v>
      </c>
    </row>
    <row r="44" spans="1:17" ht="19.05" customHeight="1">
      <c r="A44" s="7">
        <v>40</v>
      </c>
      <c r="B44" s="8" t="s">
        <v>43</v>
      </c>
      <c r="C44" s="22">
        <v>120</v>
      </c>
      <c r="D44" s="22">
        <v>35</v>
      </c>
      <c r="E44" s="22">
        <v>36</v>
      </c>
      <c r="F44" s="12">
        <v>38</v>
      </c>
      <c r="G44" s="22">
        <v>140</v>
      </c>
      <c r="H44" s="22">
        <v>5</v>
      </c>
      <c r="I44" s="22">
        <v>10</v>
      </c>
      <c r="J44" s="22">
        <v>36</v>
      </c>
      <c r="K44" s="22">
        <v>24</v>
      </c>
      <c r="L44" s="22">
        <v>95</v>
      </c>
      <c r="M44" s="22">
        <v>25</v>
      </c>
      <c r="N44" s="22">
        <v>45</v>
      </c>
      <c r="O44" s="12">
        <f t="shared" si="3"/>
        <v>609</v>
      </c>
      <c r="P44" s="13">
        <f t="shared" si="1"/>
        <v>40.6</v>
      </c>
      <c r="Q44" s="12">
        <f t="shared" si="2"/>
        <v>13</v>
      </c>
    </row>
    <row r="45" spans="1:17" ht="19.05" customHeight="1">
      <c r="A45" s="7">
        <v>41</v>
      </c>
      <c r="B45" s="8" t="s">
        <v>44</v>
      </c>
      <c r="C45" s="22">
        <v>0</v>
      </c>
      <c r="D45" s="22">
        <v>0</v>
      </c>
      <c r="E45" s="22">
        <v>0</v>
      </c>
      <c r="F45" s="12">
        <v>34</v>
      </c>
      <c r="G45" s="22">
        <v>30</v>
      </c>
      <c r="H45" s="22">
        <v>5</v>
      </c>
      <c r="I45" s="22">
        <v>10</v>
      </c>
      <c r="J45" s="22">
        <v>37</v>
      </c>
      <c r="K45" s="22">
        <v>15</v>
      </c>
      <c r="L45" s="22">
        <v>65</v>
      </c>
      <c r="M45" s="22">
        <v>0</v>
      </c>
      <c r="N45" s="22">
        <v>0</v>
      </c>
      <c r="O45" s="12">
        <f t="shared" si="3"/>
        <v>196</v>
      </c>
      <c r="P45" s="13">
        <f t="shared" si="1"/>
        <v>13.066666666666666</v>
      </c>
      <c r="Q45" s="12">
        <f t="shared" si="2"/>
        <v>47</v>
      </c>
    </row>
    <row r="46" spans="1:17" ht="19.05" customHeight="1">
      <c r="A46" s="7">
        <v>42</v>
      </c>
      <c r="B46" s="8" t="s">
        <v>45</v>
      </c>
      <c r="C46" s="22">
        <v>90</v>
      </c>
      <c r="D46" s="22">
        <v>36</v>
      </c>
      <c r="E46" s="22">
        <v>21</v>
      </c>
      <c r="F46" s="12">
        <v>38</v>
      </c>
      <c r="G46" s="22">
        <v>50</v>
      </c>
      <c r="H46" s="22">
        <v>5</v>
      </c>
      <c r="I46" s="22">
        <v>12</v>
      </c>
      <c r="J46" s="22">
        <v>37</v>
      </c>
      <c r="K46" s="22">
        <v>24</v>
      </c>
      <c r="L46" s="22">
        <v>96</v>
      </c>
      <c r="M46" s="22">
        <v>30</v>
      </c>
      <c r="N46" s="22">
        <v>0</v>
      </c>
      <c r="O46" s="12">
        <f t="shared" si="3"/>
        <v>439</v>
      </c>
      <c r="P46" s="13">
        <f t="shared" si="1"/>
        <v>29.266666666666666</v>
      </c>
      <c r="Q46" s="12">
        <f t="shared" si="2"/>
        <v>36</v>
      </c>
    </row>
    <row r="47" spans="1:17" ht="19.05" customHeight="1">
      <c r="A47" s="7">
        <v>43</v>
      </c>
      <c r="B47" s="8" t="s">
        <v>46</v>
      </c>
      <c r="C47" s="22">
        <v>80</v>
      </c>
      <c r="D47" s="22">
        <v>36</v>
      </c>
      <c r="E47" s="22">
        <v>36</v>
      </c>
      <c r="F47" s="12">
        <v>38</v>
      </c>
      <c r="G47" s="22">
        <v>75</v>
      </c>
      <c r="H47" s="22">
        <v>5</v>
      </c>
      <c r="I47" s="22">
        <v>10</v>
      </c>
      <c r="J47" s="22">
        <v>35</v>
      </c>
      <c r="K47" s="22">
        <v>24</v>
      </c>
      <c r="L47" s="22">
        <v>92</v>
      </c>
      <c r="M47" s="22">
        <v>35</v>
      </c>
      <c r="N47" s="22">
        <v>45</v>
      </c>
      <c r="O47" s="12">
        <f t="shared" si="3"/>
        <v>511</v>
      </c>
      <c r="P47" s="13">
        <f t="shared" si="1"/>
        <v>34.06666666666667</v>
      </c>
      <c r="Q47" s="12">
        <f t="shared" si="2"/>
        <v>23</v>
      </c>
    </row>
    <row r="48" spans="1:17" ht="19.05" customHeight="1">
      <c r="A48" s="7">
        <v>44</v>
      </c>
      <c r="B48" s="8" t="s">
        <v>47</v>
      </c>
      <c r="C48" s="22">
        <v>120</v>
      </c>
      <c r="D48" s="22">
        <v>36</v>
      </c>
      <c r="E48" s="22">
        <v>37</v>
      </c>
      <c r="F48" s="12">
        <v>38</v>
      </c>
      <c r="G48" s="22">
        <v>130</v>
      </c>
      <c r="H48" s="22">
        <v>5</v>
      </c>
      <c r="I48" s="22">
        <v>37</v>
      </c>
      <c r="J48" s="22">
        <v>36</v>
      </c>
      <c r="K48" s="22">
        <v>24</v>
      </c>
      <c r="L48" s="22">
        <v>93</v>
      </c>
      <c r="M48" s="22">
        <v>37</v>
      </c>
      <c r="N48" s="22">
        <v>45</v>
      </c>
      <c r="O48" s="12">
        <f t="shared" si="3"/>
        <v>638</v>
      </c>
      <c r="P48" s="13">
        <f t="shared" si="1"/>
        <v>42.533333333333331</v>
      </c>
      <c r="Q48" s="12">
        <f t="shared" si="2"/>
        <v>4</v>
      </c>
    </row>
    <row r="49" spans="1:17" ht="19.05" customHeight="1">
      <c r="A49" s="7">
        <v>45</v>
      </c>
      <c r="B49" s="8" t="s">
        <v>48</v>
      </c>
      <c r="C49" s="22">
        <v>80</v>
      </c>
      <c r="D49" s="22">
        <v>36</v>
      </c>
      <c r="E49" s="22">
        <v>21</v>
      </c>
      <c r="F49" s="12">
        <v>38</v>
      </c>
      <c r="G49" s="22">
        <v>120</v>
      </c>
      <c r="H49" s="22">
        <v>5</v>
      </c>
      <c r="I49" s="22">
        <v>12</v>
      </c>
      <c r="J49" s="22">
        <v>37</v>
      </c>
      <c r="K49" s="22">
        <v>14</v>
      </c>
      <c r="L49" s="22">
        <v>60</v>
      </c>
      <c r="M49" s="22">
        <v>30</v>
      </c>
      <c r="N49" s="22">
        <v>45</v>
      </c>
      <c r="O49" s="12">
        <f t="shared" si="3"/>
        <v>498</v>
      </c>
      <c r="P49" s="13">
        <f t="shared" si="1"/>
        <v>33.200000000000003</v>
      </c>
      <c r="Q49" s="12">
        <f t="shared" si="2"/>
        <v>27</v>
      </c>
    </row>
    <row r="50" spans="1:17" ht="19.05" customHeight="1">
      <c r="A50" s="7">
        <v>46</v>
      </c>
      <c r="B50" s="8" t="s">
        <v>49</v>
      </c>
      <c r="C50" s="22">
        <v>50</v>
      </c>
      <c r="D50" s="22">
        <v>36</v>
      </c>
      <c r="E50" s="22">
        <v>35</v>
      </c>
      <c r="F50" s="12">
        <v>38</v>
      </c>
      <c r="G50" s="22">
        <v>130</v>
      </c>
      <c r="H50" s="22">
        <v>5</v>
      </c>
      <c r="I50" s="22">
        <v>12</v>
      </c>
      <c r="J50" s="22">
        <v>36</v>
      </c>
      <c r="K50" s="22">
        <v>24</v>
      </c>
      <c r="L50" s="22">
        <v>90</v>
      </c>
      <c r="M50" s="22">
        <v>25</v>
      </c>
      <c r="N50" s="22">
        <v>45</v>
      </c>
      <c r="O50" s="12">
        <f t="shared" si="3"/>
        <v>526</v>
      </c>
      <c r="P50" s="13">
        <f t="shared" si="1"/>
        <v>35.06666666666667</v>
      </c>
      <c r="Q50" s="12">
        <f t="shared" si="2"/>
        <v>20</v>
      </c>
    </row>
    <row r="51" spans="1:17" ht="19.05" customHeight="1">
      <c r="A51" s="7">
        <v>47</v>
      </c>
      <c r="B51" s="8" t="s">
        <v>50</v>
      </c>
      <c r="C51" s="22">
        <v>0</v>
      </c>
      <c r="D51" s="22">
        <v>0</v>
      </c>
      <c r="E51" s="22">
        <v>0</v>
      </c>
      <c r="F51" s="31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12">
        <f t="shared" si="3"/>
        <v>0</v>
      </c>
      <c r="P51" s="13">
        <f t="shared" si="1"/>
        <v>0</v>
      </c>
      <c r="Q51" s="12">
        <f t="shared" si="2"/>
        <v>49</v>
      </c>
    </row>
    <row r="52" spans="1:17" ht="19.05" customHeight="1">
      <c r="A52" s="7">
        <v>48</v>
      </c>
      <c r="B52" s="8" t="s">
        <v>51</v>
      </c>
      <c r="C52" s="22">
        <v>0</v>
      </c>
      <c r="D52" s="22">
        <v>0</v>
      </c>
      <c r="E52" s="22">
        <v>0</v>
      </c>
      <c r="F52" s="31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12">
        <f t="shared" si="3"/>
        <v>0</v>
      </c>
      <c r="P52" s="13">
        <f t="shared" si="1"/>
        <v>0</v>
      </c>
      <c r="Q52" s="12">
        <f t="shared" si="2"/>
        <v>49</v>
      </c>
    </row>
    <row r="53" spans="1:17" ht="19.05" customHeight="1">
      <c r="A53" s="7">
        <v>49</v>
      </c>
      <c r="B53" s="8" t="s">
        <v>52</v>
      </c>
      <c r="C53" s="22">
        <v>110</v>
      </c>
      <c r="D53" s="22">
        <v>36</v>
      </c>
      <c r="E53" s="22">
        <v>21</v>
      </c>
      <c r="F53" s="12">
        <v>34</v>
      </c>
      <c r="G53" s="22">
        <v>50</v>
      </c>
      <c r="H53" s="22">
        <v>10</v>
      </c>
      <c r="I53" s="22">
        <v>10</v>
      </c>
      <c r="J53" s="22">
        <v>37</v>
      </c>
      <c r="K53" s="22">
        <v>19</v>
      </c>
      <c r="L53" s="22">
        <v>60</v>
      </c>
      <c r="M53" s="22">
        <v>34</v>
      </c>
      <c r="N53" s="22">
        <v>0</v>
      </c>
      <c r="O53" s="12">
        <f t="shared" si="3"/>
        <v>421</v>
      </c>
      <c r="P53" s="13">
        <f t="shared" si="1"/>
        <v>28.066666666666666</v>
      </c>
      <c r="Q53" s="12">
        <f t="shared" si="2"/>
        <v>38</v>
      </c>
    </row>
    <row r="54" spans="1:17" ht="19.05" customHeight="1">
      <c r="A54" s="7">
        <v>50</v>
      </c>
      <c r="B54" s="8" t="s">
        <v>53</v>
      </c>
      <c r="C54" s="22">
        <v>120</v>
      </c>
      <c r="D54" s="22">
        <v>36</v>
      </c>
      <c r="E54" s="22">
        <v>37</v>
      </c>
      <c r="F54" s="12">
        <v>38</v>
      </c>
      <c r="G54" s="22">
        <v>140</v>
      </c>
      <c r="H54" s="22">
        <v>5</v>
      </c>
      <c r="I54" s="22">
        <v>36</v>
      </c>
      <c r="J54" s="22">
        <v>36</v>
      </c>
      <c r="K54" s="22">
        <v>25</v>
      </c>
      <c r="L54" s="22">
        <v>70</v>
      </c>
      <c r="M54" s="22">
        <v>30</v>
      </c>
      <c r="N54" s="22">
        <v>45</v>
      </c>
      <c r="O54" s="12">
        <f t="shared" si="3"/>
        <v>618</v>
      </c>
      <c r="P54" s="13">
        <f t="shared" si="1"/>
        <v>41.2</v>
      </c>
      <c r="Q54" s="12">
        <f t="shared" si="2"/>
        <v>11</v>
      </c>
    </row>
    <row r="55" spans="1:17" ht="22.5" customHeight="1">
      <c r="A55" s="10" t="s">
        <v>69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 t="s">
        <v>71</v>
      </c>
      <c r="O55" s="10"/>
      <c r="P55" s="10"/>
      <c r="Q55" s="10"/>
    </row>
    <row r="56" spans="1:17" ht="22.5" customHeight="1">
      <c r="A56" s="11" t="s">
        <v>70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1"/>
    </row>
    <row r="57" spans="1:17" ht="22.5" customHeight="1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</row>
    <row r="58" spans="1:17" ht="22.5" customHeight="1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</sheetData>
  <mergeCells count="1">
    <mergeCell ref="H3:J3"/>
  </mergeCells>
  <printOptions horizontalCentered="1"/>
  <pageMargins left="0.25" right="0.25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8"/>
  <sheetViews>
    <sheetView topLeftCell="A52" zoomScale="121" zoomScaleNormal="121" workbookViewId="0">
      <selection activeCell="E53" sqref="E53:E54"/>
    </sheetView>
  </sheetViews>
  <sheetFormatPr defaultRowHeight="14.25"/>
  <cols>
    <col min="1" max="1" width="5.6640625" customWidth="1"/>
    <col min="2" max="2" width="22.73046875" customWidth="1"/>
    <col min="3" max="3" width="14" customWidth="1"/>
    <col min="4" max="4" width="23.265625" customWidth="1"/>
    <col min="5" max="5" width="17.59765625" customWidth="1"/>
    <col min="6" max="6" width="17.53125" customWidth="1"/>
    <col min="7" max="7" width="7.33203125" customWidth="1"/>
    <col min="8" max="8" width="23.19921875" customWidth="1"/>
    <col min="9" max="9" width="6.86328125" customWidth="1"/>
  </cols>
  <sheetData>
    <row r="1" spans="1:17" ht="33.4" customHeight="1">
      <c r="A1" s="1"/>
      <c r="B1" s="1"/>
      <c r="C1" s="1"/>
      <c r="D1" s="93" t="s">
        <v>0</v>
      </c>
      <c r="E1" s="93"/>
      <c r="F1" s="3"/>
      <c r="G1" s="3"/>
      <c r="H1" s="3"/>
      <c r="I1" s="2"/>
      <c r="J1" s="2"/>
      <c r="K1" s="2"/>
      <c r="L1" s="1"/>
      <c r="M1" s="1"/>
      <c r="N1" s="1"/>
      <c r="O1" s="1"/>
    </row>
    <row r="2" spans="1:17" ht="37.5" customHeight="1">
      <c r="A2" s="19" t="s">
        <v>2</v>
      </c>
      <c r="B2" s="19"/>
      <c r="C2" s="19"/>
      <c r="D2" s="94" t="s">
        <v>1</v>
      </c>
      <c r="E2" s="94"/>
      <c r="F2" s="19"/>
      <c r="G2" s="19"/>
      <c r="H2" s="19"/>
      <c r="I2" s="16"/>
      <c r="J2" s="2"/>
      <c r="K2" s="3"/>
      <c r="L2" s="3"/>
      <c r="M2" s="1"/>
      <c r="N2" s="1"/>
      <c r="O2" s="1"/>
    </row>
    <row r="3" spans="1:17" ht="37.9" customHeight="1">
      <c r="A3" s="19" t="s">
        <v>72</v>
      </c>
      <c r="B3" s="19"/>
      <c r="C3" s="19"/>
      <c r="D3" s="36" t="s">
        <v>80</v>
      </c>
      <c r="E3" s="37"/>
      <c r="F3" s="3"/>
      <c r="G3" s="3"/>
      <c r="H3" s="3"/>
      <c r="I3" s="1"/>
      <c r="J3" s="1"/>
      <c r="K3" s="14"/>
      <c r="L3" s="1"/>
      <c r="M3" s="1"/>
      <c r="N3" s="1"/>
      <c r="O3" s="1"/>
      <c r="P3" s="1"/>
      <c r="Q3" s="1"/>
    </row>
    <row r="4" spans="1:17">
      <c r="A4" s="5" t="s">
        <v>4</v>
      </c>
      <c r="B4" s="6" t="s">
        <v>5</v>
      </c>
      <c r="C4" s="6" t="s">
        <v>66</v>
      </c>
      <c r="D4" s="6" t="s">
        <v>67</v>
      </c>
      <c r="E4" s="6" t="s">
        <v>75</v>
      </c>
      <c r="F4" s="17"/>
      <c r="G4" s="17"/>
      <c r="H4" s="17"/>
      <c r="I4" s="95"/>
      <c r="J4" s="15"/>
      <c r="K4" s="15"/>
    </row>
    <row r="5" spans="1:17" ht="23.25" customHeight="1">
      <c r="A5" s="7">
        <v>1</v>
      </c>
      <c r="B5" s="8" t="s">
        <v>12</v>
      </c>
      <c r="C5" s="12">
        <v>711</v>
      </c>
      <c r="D5" s="13">
        <v>47.4</v>
      </c>
      <c r="E5" s="33">
        <v>1</v>
      </c>
      <c r="F5" s="17"/>
      <c r="G5" s="17"/>
      <c r="H5" s="17"/>
      <c r="I5" s="95"/>
    </row>
    <row r="6" spans="1:17" ht="22.15" customHeight="1">
      <c r="A6" s="7">
        <v>2</v>
      </c>
      <c r="B6" s="8" t="s">
        <v>19</v>
      </c>
      <c r="C6" s="12">
        <v>659</v>
      </c>
      <c r="D6" s="13">
        <v>43.93333333333333</v>
      </c>
      <c r="E6" s="33">
        <v>2</v>
      </c>
      <c r="F6" s="17"/>
      <c r="G6" s="17"/>
      <c r="H6" s="17"/>
      <c r="I6" s="95"/>
    </row>
    <row r="7" spans="1:17" ht="22.5" customHeight="1">
      <c r="A7" s="7">
        <v>3</v>
      </c>
      <c r="B7" s="8" t="s">
        <v>42</v>
      </c>
      <c r="C7" s="12">
        <v>647</v>
      </c>
      <c r="D7" s="13">
        <v>43.133333333333333</v>
      </c>
      <c r="E7" s="33">
        <v>3</v>
      </c>
      <c r="F7" s="17"/>
      <c r="G7" s="17"/>
      <c r="H7" s="17"/>
      <c r="I7" s="95"/>
    </row>
    <row r="8" spans="1:17" ht="22.5" customHeight="1">
      <c r="A8" s="7">
        <v>4</v>
      </c>
      <c r="B8" s="8" t="s">
        <v>47</v>
      </c>
      <c r="C8" s="12">
        <v>638</v>
      </c>
      <c r="D8" s="13">
        <v>42.533333333333331</v>
      </c>
      <c r="E8" s="33">
        <v>4</v>
      </c>
      <c r="F8" s="17"/>
      <c r="G8" s="17"/>
      <c r="H8" s="17"/>
      <c r="I8" s="95"/>
    </row>
    <row r="9" spans="1:17" ht="24.4" customHeight="1">
      <c r="A9" s="7">
        <v>5</v>
      </c>
      <c r="B9" s="8" t="s">
        <v>36</v>
      </c>
      <c r="C9" s="12">
        <v>637</v>
      </c>
      <c r="D9" s="13">
        <v>42.466666666666669</v>
      </c>
      <c r="E9" s="33">
        <v>5</v>
      </c>
      <c r="F9" s="17"/>
      <c r="G9" s="17"/>
      <c r="H9" s="17"/>
      <c r="I9" s="95"/>
    </row>
    <row r="10" spans="1:17" ht="15.75">
      <c r="A10" s="7">
        <v>6</v>
      </c>
      <c r="B10" s="8" t="s">
        <v>10</v>
      </c>
      <c r="C10" s="12">
        <v>625</v>
      </c>
      <c r="D10" s="13">
        <v>41.666666666666664</v>
      </c>
      <c r="E10" s="33">
        <v>6</v>
      </c>
      <c r="F10" s="17"/>
      <c r="G10" s="17"/>
      <c r="H10" s="17"/>
      <c r="I10" s="95"/>
    </row>
    <row r="11" spans="1:17" ht="15.75">
      <c r="A11" s="7">
        <v>7</v>
      </c>
      <c r="B11" s="8" t="s">
        <v>29</v>
      </c>
      <c r="C11" s="12">
        <v>623</v>
      </c>
      <c r="D11" s="13">
        <v>41.533333333333331</v>
      </c>
      <c r="E11" s="33">
        <v>7</v>
      </c>
      <c r="F11" s="17"/>
      <c r="G11" s="17"/>
      <c r="H11" s="17"/>
      <c r="I11" s="95"/>
    </row>
    <row r="12" spans="1:17" ht="15.75">
      <c r="A12" s="7">
        <v>8</v>
      </c>
      <c r="B12" s="8" t="s">
        <v>74</v>
      </c>
      <c r="C12" s="12">
        <v>622</v>
      </c>
      <c r="D12" s="13">
        <v>41.466666666666669</v>
      </c>
      <c r="E12" s="33">
        <v>8</v>
      </c>
      <c r="F12" s="17"/>
      <c r="G12" s="17"/>
      <c r="H12" s="17"/>
      <c r="I12" s="95"/>
    </row>
    <row r="13" spans="1:17" ht="15.75">
      <c r="A13" s="7">
        <v>9</v>
      </c>
      <c r="B13" s="8" t="s">
        <v>18</v>
      </c>
      <c r="C13" s="12">
        <v>620</v>
      </c>
      <c r="D13" s="13">
        <v>41.333333333333336</v>
      </c>
      <c r="E13" s="33">
        <v>9</v>
      </c>
      <c r="F13" s="17"/>
      <c r="G13" s="17"/>
      <c r="H13" s="17"/>
      <c r="I13" s="95"/>
    </row>
    <row r="14" spans="1:17" ht="15.75">
      <c r="A14" s="7">
        <v>10</v>
      </c>
      <c r="B14" s="8" t="s">
        <v>23</v>
      </c>
      <c r="C14" s="12">
        <v>620</v>
      </c>
      <c r="D14" s="13">
        <v>41.333333333333336</v>
      </c>
      <c r="E14" s="33">
        <v>9</v>
      </c>
      <c r="F14" s="17"/>
      <c r="G14" s="17"/>
      <c r="H14" s="17"/>
      <c r="I14" s="95"/>
    </row>
    <row r="15" spans="1:17" ht="21.4" customHeight="1">
      <c r="A15" s="7">
        <v>11</v>
      </c>
      <c r="B15" s="8" t="s">
        <v>53</v>
      </c>
      <c r="C15" s="32">
        <v>618</v>
      </c>
      <c r="D15" s="35">
        <v>41.2</v>
      </c>
      <c r="E15" s="34">
        <v>11</v>
      </c>
      <c r="F15" s="17"/>
      <c r="G15" s="17"/>
      <c r="H15" s="17"/>
      <c r="I15" s="95"/>
    </row>
    <row r="16" spans="1:17" ht="15.75">
      <c r="A16" s="7">
        <v>12</v>
      </c>
      <c r="B16" s="8" t="s">
        <v>6</v>
      </c>
      <c r="C16" s="12">
        <v>615</v>
      </c>
      <c r="D16" s="13">
        <v>41</v>
      </c>
      <c r="E16" s="33">
        <v>12</v>
      </c>
      <c r="F16" s="17"/>
      <c r="G16" s="17"/>
      <c r="H16" s="17"/>
      <c r="I16" s="95"/>
    </row>
    <row r="17" spans="1:9" ht="15.75">
      <c r="A17" s="7">
        <v>13</v>
      </c>
      <c r="B17" s="8" t="s">
        <v>43</v>
      </c>
      <c r="C17" s="12">
        <v>609</v>
      </c>
      <c r="D17" s="13">
        <v>40.6</v>
      </c>
      <c r="E17" s="33">
        <v>13</v>
      </c>
      <c r="F17" s="17"/>
      <c r="G17" s="17"/>
      <c r="H17" s="17"/>
      <c r="I17" s="95"/>
    </row>
    <row r="18" spans="1:9" ht="15.75">
      <c r="A18" s="7">
        <v>14</v>
      </c>
      <c r="B18" s="8" t="s">
        <v>26</v>
      </c>
      <c r="C18" s="12">
        <v>604</v>
      </c>
      <c r="D18" s="13">
        <v>40.266666666666666</v>
      </c>
      <c r="E18" s="33">
        <v>14</v>
      </c>
      <c r="F18" s="17"/>
      <c r="G18" s="17"/>
      <c r="H18" s="17"/>
      <c r="I18" s="95"/>
    </row>
    <row r="19" spans="1:9" ht="15.75">
      <c r="A19" s="7">
        <v>15</v>
      </c>
      <c r="B19" s="8" t="s">
        <v>27</v>
      </c>
      <c r="C19" s="12">
        <v>589</v>
      </c>
      <c r="D19" s="13">
        <v>39.266666666666666</v>
      </c>
      <c r="E19" s="33">
        <v>15</v>
      </c>
      <c r="F19" s="17"/>
      <c r="G19" s="17"/>
      <c r="H19" s="17"/>
      <c r="I19" s="95"/>
    </row>
    <row r="20" spans="1:9" ht="15.75">
      <c r="A20" s="7">
        <v>16</v>
      </c>
      <c r="B20" s="8" t="s">
        <v>24</v>
      </c>
      <c r="C20" s="12">
        <v>581</v>
      </c>
      <c r="D20" s="13">
        <v>38.733333333333334</v>
      </c>
      <c r="E20" s="33">
        <v>16</v>
      </c>
      <c r="F20" s="17"/>
      <c r="G20" s="17"/>
      <c r="H20" s="17"/>
      <c r="I20" s="95"/>
    </row>
    <row r="21" spans="1:9" ht="15.75">
      <c r="A21" s="7">
        <v>17</v>
      </c>
      <c r="B21" s="8" t="s">
        <v>28</v>
      </c>
      <c r="C21" s="12">
        <v>576</v>
      </c>
      <c r="D21" s="13">
        <v>38.4</v>
      </c>
      <c r="E21" s="33">
        <v>17</v>
      </c>
      <c r="F21" s="17"/>
      <c r="G21" s="17"/>
      <c r="H21" s="17"/>
      <c r="I21" s="95"/>
    </row>
    <row r="22" spans="1:9" ht="15.75">
      <c r="A22" s="7">
        <v>18</v>
      </c>
      <c r="B22" s="8" t="s">
        <v>40</v>
      </c>
      <c r="C22" s="12">
        <v>547</v>
      </c>
      <c r="D22" s="13">
        <v>36.466666666666669</v>
      </c>
      <c r="E22" s="33">
        <v>18</v>
      </c>
      <c r="F22" s="17"/>
      <c r="G22" s="17"/>
      <c r="H22" s="17"/>
      <c r="I22" s="95"/>
    </row>
    <row r="23" spans="1:9" ht="15.75">
      <c r="A23" s="7">
        <v>19</v>
      </c>
      <c r="B23" s="8" t="s">
        <v>81</v>
      </c>
      <c r="C23" s="12">
        <v>528</v>
      </c>
      <c r="D23" s="13">
        <v>35.200000000000003</v>
      </c>
      <c r="E23" s="33">
        <v>19</v>
      </c>
      <c r="F23" s="17"/>
      <c r="G23" s="17"/>
      <c r="H23" s="17"/>
      <c r="I23" s="95"/>
    </row>
    <row r="24" spans="1:9" ht="15.75">
      <c r="A24" s="7">
        <v>20</v>
      </c>
      <c r="B24" s="8" t="s">
        <v>49</v>
      </c>
      <c r="C24" s="12">
        <v>526</v>
      </c>
      <c r="D24" s="13">
        <v>35.06666666666667</v>
      </c>
      <c r="E24" s="33">
        <v>20</v>
      </c>
      <c r="F24" s="17"/>
      <c r="G24" s="17"/>
      <c r="H24" s="17"/>
      <c r="I24" s="95"/>
    </row>
    <row r="25" spans="1:9" ht="15.75">
      <c r="A25" s="7">
        <v>21</v>
      </c>
      <c r="B25" s="8" t="s">
        <v>25</v>
      </c>
      <c r="C25" s="12">
        <v>514</v>
      </c>
      <c r="D25" s="13">
        <v>34.266666666666666</v>
      </c>
      <c r="E25" s="33">
        <v>21</v>
      </c>
      <c r="F25" s="17"/>
      <c r="G25" s="17"/>
      <c r="H25" s="17"/>
      <c r="I25" s="95"/>
    </row>
    <row r="26" spans="1:9" ht="15.75">
      <c r="A26" s="7">
        <v>22</v>
      </c>
      <c r="B26" s="8" t="s">
        <v>7</v>
      </c>
      <c r="C26" s="12">
        <v>512</v>
      </c>
      <c r="D26" s="13">
        <v>34.133333333333333</v>
      </c>
      <c r="E26" s="33">
        <v>22</v>
      </c>
      <c r="F26" s="17"/>
      <c r="G26" s="17"/>
      <c r="H26" s="17"/>
      <c r="I26" s="95"/>
    </row>
    <row r="27" spans="1:9" ht="15.75">
      <c r="A27" s="7">
        <v>23</v>
      </c>
      <c r="B27" s="8" t="s">
        <v>46</v>
      </c>
      <c r="C27" s="12">
        <v>511</v>
      </c>
      <c r="D27" s="13">
        <v>34.06666666666667</v>
      </c>
      <c r="E27" s="33">
        <v>23</v>
      </c>
      <c r="F27" s="17"/>
      <c r="G27" s="17"/>
      <c r="H27" s="17"/>
      <c r="I27" s="95"/>
    </row>
    <row r="28" spans="1:9" ht="15.75">
      <c r="A28" s="7">
        <v>24</v>
      </c>
      <c r="B28" s="8" t="s">
        <v>13</v>
      </c>
      <c r="C28" s="12">
        <v>505</v>
      </c>
      <c r="D28" s="13">
        <v>33.666666666666664</v>
      </c>
      <c r="E28" s="33">
        <v>24</v>
      </c>
      <c r="F28" s="17"/>
      <c r="G28" s="17"/>
      <c r="H28" s="17"/>
      <c r="I28" s="95"/>
    </row>
    <row r="29" spans="1:9" ht="15.75">
      <c r="A29" s="7">
        <v>25</v>
      </c>
      <c r="B29" s="8" t="s">
        <v>22</v>
      </c>
      <c r="C29" s="12">
        <v>505</v>
      </c>
      <c r="D29" s="13">
        <v>33.666666666666664</v>
      </c>
      <c r="E29" s="33">
        <v>24</v>
      </c>
      <c r="F29" s="17"/>
      <c r="G29" s="17"/>
      <c r="H29" s="17"/>
      <c r="I29" s="95"/>
    </row>
    <row r="30" spans="1:9" ht="15.75">
      <c r="A30" s="7">
        <v>26</v>
      </c>
      <c r="B30" s="8" t="s">
        <v>38</v>
      </c>
      <c r="C30" s="12">
        <v>499</v>
      </c>
      <c r="D30" s="13">
        <v>33.266666666666666</v>
      </c>
      <c r="E30" s="33">
        <v>26</v>
      </c>
      <c r="F30" s="17"/>
      <c r="G30" s="17"/>
      <c r="H30" s="17"/>
      <c r="I30" s="95"/>
    </row>
    <row r="31" spans="1:9" ht="15.75">
      <c r="A31" s="7">
        <v>27</v>
      </c>
      <c r="B31" s="8" t="s">
        <v>48</v>
      </c>
      <c r="C31" s="12">
        <v>498</v>
      </c>
      <c r="D31" s="13">
        <v>33.200000000000003</v>
      </c>
      <c r="E31" s="33">
        <v>27</v>
      </c>
      <c r="F31" s="17"/>
      <c r="G31" s="17"/>
      <c r="H31" s="17"/>
      <c r="I31" s="95"/>
    </row>
    <row r="32" spans="1:9" ht="15.75">
      <c r="A32" s="7">
        <v>28</v>
      </c>
      <c r="B32" s="8" t="s">
        <v>9</v>
      </c>
      <c r="C32" s="12">
        <v>494</v>
      </c>
      <c r="D32" s="13">
        <v>32.93333333333333</v>
      </c>
      <c r="E32" s="33">
        <v>28</v>
      </c>
      <c r="F32" s="17"/>
      <c r="G32" s="17"/>
      <c r="H32" s="17"/>
      <c r="I32" s="95"/>
    </row>
    <row r="33" spans="1:9" ht="15.75">
      <c r="A33" s="7">
        <v>29</v>
      </c>
      <c r="B33" s="8" t="s">
        <v>31</v>
      </c>
      <c r="C33" s="12">
        <v>490</v>
      </c>
      <c r="D33" s="13">
        <v>32.666666666666664</v>
      </c>
      <c r="E33" s="33">
        <v>29</v>
      </c>
      <c r="F33" s="17"/>
      <c r="G33" s="17"/>
      <c r="H33" s="17"/>
      <c r="I33" s="95"/>
    </row>
    <row r="34" spans="1:9" ht="15.75">
      <c r="A34" s="7">
        <v>30</v>
      </c>
      <c r="B34" s="8" t="s">
        <v>35</v>
      </c>
      <c r="C34" s="12">
        <v>490</v>
      </c>
      <c r="D34" s="13">
        <v>32.666666666666664</v>
      </c>
      <c r="E34" s="33">
        <v>29</v>
      </c>
      <c r="F34" s="17"/>
      <c r="G34" s="17"/>
      <c r="H34" s="17"/>
      <c r="I34" s="95"/>
    </row>
    <row r="35" spans="1:9" ht="15.75">
      <c r="A35" s="7">
        <v>31</v>
      </c>
      <c r="B35" s="8" t="s">
        <v>82</v>
      </c>
      <c r="C35" s="12">
        <v>487</v>
      </c>
      <c r="D35" s="13">
        <v>32.466666666666669</v>
      </c>
      <c r="E35" s="33">
        <v>31</v>
      </c>
      <c r="F35" s="17"/>
      <c r="G35" s="17"/>
      <c r="H35" s="17"/>
      <c r="I35" s="95"/>
    </row>
    <row r="36" spans="1:9" ht="15.75">
      <c r="A36" s="7">
        <v>32</v>
      </c>
      <c r="B36" s="8" t="s">
        <v>11</v>
      </c>
      <c r="C36" s="12">
        <v>468</v>
      </c>
      <c r="D36" s="13">
        <v>31.2</v>
      </c>
      <c r="E36" s="33">
        <v>32</v>
      </c>
      <c r="F36" s="17"/>
      <c r="G36" s="17"/>
      <c r="H36" s="17"/>
      <c r="I36" s="95"/>
    </row>
    <row r="37" spans="1:9" ht="15.75">
      <c r="A37" s="7">
        <v>33</v>
      </c>
      <c r="B37" s="8" t="s">
        <v>20</v>
      </c>
      <c r="C37" s="12">
        <v>468</v>
      </c>
      <c r="D37" s="13">
        <v>31.2</v>
      </c>
      <c r="E37" s="33">
        <v>32</v>
      </c>
      <c r="F37" s="17"/>
      <c r="G37" s="17"/>
      <c r="H37" s="17"/>
      <c r="I37" s="95"/>
    </row>
    <row r="38" spans="1:9" ht="15.75">
      <c r="A38" s="7">
        <v>34</v>
      </c>
      <c r="B38" s="8" t="s">
        <v>30</v>
      </c>
      <c r="C38" s="12">
        <v>448</v>
      </c>
      <c r="D38" s="13">
        <v>29.866666666666667</v>
      </c>
      <c r="E38" s="33">
        <v>34</v>
      </c>
      <c r="F38" s="17"/>
      <c r="G38" s="17"/>
      <c r="H38" s="17"/>
      <c r="I38" s="95"/>
    </row>
    <row r="39" spans="1:9" ht="15.75">
      <c r="A39" s="7">
        <v>35</v>
      </c>
      <c r="B39" s="8" t="s">
        <v>15</v>
      </c>
      <c r="C39" s="12">
        <v>444</v>
      </c>
      <c r="D39" s="13">
        <v>29.6</v>
      </c>
      <c r="E39" s="33">
        <v>35</v>
      </c>
      <c r="F39" s="17"/>
      <c r="G39" s="17"/>
      <c r="H39" s="17"/>
      <c r="I39" s="95"/>
    </row>
    <row r="40" spans="1:9" ht="23.65" customHeight="1">
      <c r="A40" s="7">
        <v>36</v>
      </c>
      <c r="B40" s="8" t="s">
        <v>45</v>
      </c>
      <c r="C40" s="12">
        <v>439</v>
      </c>
      <c r="D40" s="13">
        <v>29.266666666666666</v>
      </c>
      <c r="E40" s="33">
        <v>36</v>
      </c>
      <c r="F40" s="17"/>
      <c r="G40" s="17"/>
      <c r="H40" s="17"/>
      <c r="I40" s="95"/>
    </row>
    <row r="41" spans="1:9" ht="24" customHeight="1">
      <c r="A41" s="7">
        <v>37</v>
      </c>
      <c r="B41" s="8" t="s">
        <v>16</v>
      </c>
      <c r="C41" s="12">
        <v>436</v>
      </c>
      <c r="D41" s="13">
        <v>29.066666666666666</v>
      </c>
      <c r="E41" s="33">
        <v>37</v>
      </c>
      <c r="F41" s="17"/>
      <c r="G41" s="17"/>
      <c r="H41" s="17"/>
      <c r="I41" s="95"/>
    </row>
    <row r="42" spans="1:9" ht="15">
      <c r="A42" s="7">
        <v>38</v>
      </c>
      <c r="B42" s="8" t="s">
        <v>52</v>
      </c>
      <c r="C42" s="32">
        <v>421</v>
      </c>
      <c r="D42" s="35">
        <v>28.066666666666666</v>
      </c>
      <c r="E42" s="34">
        <v>38</v>
      </c>
      <c r="F42" s="17"/>
      <c r="G42" s="17"/>
      <c r="H42" s="17"/>
      <c r="I42" s="95"/>
    </row>
    <row r="43" spans="1:9" ht="24.4" customHeight="1">
      <c r="A43" s="7">
        <v>39</v>
      </c>
      <c r="B43" s="8" t="s">
        <v>41</v>
      </c>
      <c r="C43" s="12">
        <v>389</v>
      </c>
      <c r="D43" s="13">
        <v>25.933333333333334</v>
      </c>
      <c r="E43" s="33">
        <v>39</v>
      </c>
      <c r="F43" s="17"/>
      <c r="G43" s="17"/>
      <c r="H43" s="17"/>
      <c r="I43" s="95"/>
    </row>
    <row r="44" spans="1:9" ht="24" customHeight="1">
      <c r="A44" s="7">
        <v>40</v>
      </c>
      <c r="B44" s="8" t="s">
        <v>34</v>
      </c>
      <c r="C44" s="12">
        <v>387</v>
      </c>
      <c r="D44" s="13">
        <v>25.8</v>
      </c>
      <c r="E44" s="33">
        <v>40</v>
      </c>
      <c r="F44" s="17"/>
      <c r="G44" s="17"/>
      <c r="H44" s="17"/>
      <c r="I44" s="95"/>
    </row>
    <row r="45" spans="1:9" ht="24.4" customHeight="1">
      <c r="A45" s="7">
        <v>41</v>
      </c>
      <c r="B45" s="8" t="s">
        <v>37</v>
      </c>
      <c r="C45" s="12">
        <v>381</v>
      </c>
      <c r="D45" s="13">
        <v>25.4</v>
      </c>
      <c r="E45" s="33">
        <v>41</v>
      </c>
      <c r="F45" s="17"/>
      <c r="G45" s="17"/>
      <c r="H45" s="17"/>
      <c r="I45" s="95"/>
    </row>
    <row r="46" spans="1:9" ht="24" customHeight="1">
      <c r="A46" s="7">
        <v>42</v>
      </c>
      <c r="B46" s="8" t="s">
        <v>17</v>
      </c>
      <c r="C46" s="12">
        <v>378</v>
      </c>
      <c r="D46" s="13">
        <v>25.2</v>
      </c>
      <c r="E46" s="33">
        <v>42</v>
      </c>
      <c r="F46" s="17"/>
      <c r="G46" s="17"/>
      <c r="H46" s="17"/>
      <c r="I46" s="95"/>
    </row>
    <row r="47" spans="1:9" ht="24.4" customHeight="1">
      <c r="A47" s="7">
        <v>43</v>
      </c>
      <c r="B47" s="8" t="s">
        <v>73</v>
      </c>
      <c r="C47" s="12">
        <v>366</v>
      </c>
      <c r="D47" s="13">
        <v>24.4</v>
      </c>
      <c r="E47" s="33">
        <v>43</v>
      </c>
      <c r="F47" s="17"/>
      <c r="G47" s="17"/>
      <c r="H47" s="17"/>
      <c r="I47" s="95"/>
    </row>
    <row r="48" spans="1:9" ht="24" customHeight="1">
      <c r="A48" s="7">
        <v>44</v>
      </c>
      <c r="B48" s="8" t="s">
        <v>32</v>
      </c>
      <c r="C48" s="12">
        <v>327</v>
      </c>
      <c r="D48" s="13">
        <v>21.8</v>
      </c>
      <c r="E48" s="33">
        <v>44</v>
      </c>
      <c r="F48" s="17"/>
      <c r="G48" s="17"/>
      <c r="H48" s="17"/>
      <c r="I48" s="95"/>
    </row>
    <row r="49" spans="1:9" ht="24" customHeight="1">
      <c r="A49" s="7">
        <v>45</v>
      </c>
      <c r="B49" s="8" t="s">
        <v>33</v>
      </c>
      <c r="C49" s="12">
        <v>319</v>
      </c>
      <c r="D49" s="13">
        <v>21.266666666666666</v>
      </c>
      <c r="E49" s="33">
        <v>45</v>
      </c>
      <c r="F49" s="17"/>
      <c r="G49" s="17"/>
      <c r="H49" s="17"/>
      <c r="I49" s="95"/>
    </row>
    <row r="50" spans="1:9" ht="15.75">
      <c r="A50" s="7">
        <v>46</v>
      </c>
      <c r="B50" s="8" t="s">
        <v>8</v>
      </c>
      <c r="C50" s="12">
        <v>267</v>
      </c>
      <c r="D50" s="13">
        <v>17.8</v>
      </c>
      <c r="E50" s="33">
        <v>46</v>
      </c>
      <c r="F50" s="17"/>
      <c r="G50" s="17"/>
      <c r="H50" s="17"/>
      <c r="I50" s="95"/>
    </row>
    <row r="51" spans="1:9" ht="24.4" customHeight="1">
      <c r="A51" s="7">
        <v>47</v>
      </c>
      <c r="B51" s="8" t="s">
        <v>44</v>
      </c>
      <c r="C51" s="12">
        <v>196</v>
      </c>
      <c r="D51" s="13">
        <v>13.066666666666666</v>
      </c>
      <c r="E51" s="33">
        <v>47</v>
      </c>
      <c r="F51" s="17"/>
      <c r="G51" s="17"/>
      <c r="H51" s="17"/>
      <c r="I51" s="95"/>
    </row>
    <row r="52" spans="1:9" ht="24.4" customHeight="1">
      <c r="A52" s="7">
        <v>48</v>
      </c>
      <c r="B52" s="8" t="s">
        <v>39</v>
      </c>
      <c r="C52" s="12">
        <v>79</v>
      </c>
      <c r="D52" s="13">
        <v>5.2666666666666666</v>
      </c>
      <c r="E52" s="33">
        <v>48</v>
      </c>
      <c r="F52" s="17"/>
      <c r="G52" s="17"/>
      <c r="H52" s="17"/>
      <c r="I52" s="95"/>
    </row>
    <row r="53" spans="1:9" ht="24" customHeight="1">
      <c r="A53" s="7">
        <v>49</v>
      </c>
      <c r="B53" s="8" t="s">
        <v>50</v>
      </c>
      <c r="C53" s="12" t="s">
        <v>84</v>
      </c>
      <c r="D53" s="12" t="s">
        <v>84</v>
      </c>
      <c r="E53" s="34" t="s">
        <v>83</v>
      </c>
      <c r="F53" s="17"/>
      <c r="G53" s="17"/>
      <c r="H53" s="17"/>
      <c r="I53" s="95"/>
    </row>
    <row r="54" spans="1:9" ht="22.15" customHeight="1">
      <c r="A54" s="7">
        <v>50</v>
      </c>
      <c r="B54" s="8" t="s">
        <v>51</v>
      </c>
      <c r="C54" s="12" t="s">
        <v>84</v>
      </c>
      <c r="D54" s="12" t="s">
        <v>84</v>
      </c>
      <c r="E54" s="34" t="s">
        <v>83</v>
      </c>
      <c r="F54" s="17"/>
      <c r="G54" s="17"/>
      <c r="H54" s="17"/>
      <c r="I54" s="95"/>
    </row>
    <row r="55" spans="1:9">
      <c r="A55" s="10" t="s">
        <v>69</v>
      </c>
      <c r="B55" s="10"/>
      <c r="C55" s="25"/>
      <c r="D55" s="27" t="s">
        <v>85</v>
      </c>
      <c r="E55" s="28"/>
      <c r="F55" s="11"/>
    </row>
    <row r="56" spans="1:9">
      <c r="A56" s="11" t="s">
        <v>70</v>
      </c>
      <c r="B56" s="26"/>
      <c r="C56" s="25"/>
      <c r="D56" s="29" t="s">
        <v>71</v>
      </c>
      <c r="E56" s="29"/>
    </row>
    <row r="57" spans="1:9">
      <c r="A57" s="25"/>
      <c r="B57" s="25"/>
      <c r="C57" s="25"/>
      <c r="D57" s="29"/>
      <c r="E57" s="30"/>
    </row>
    <row r="58" spans="1:9">
      <c r="A58" s="25"/>
      <c r="B58" s="25"/>
      <c r="C58" s="25"/>
      <c r="D58" s="29" t="s">
        <v>76</v>
      </c>
      <c r="E58" s="29"/>
    </row>
  </sheetData>
  <sortState xmlns:xlrd2="http://schemas.microsoft.com/office/spreadsheetml/2017/richdata2" ref="A5:E54">
    <sortCondition ref="A5"/>
  </sortState>
  <mergeCells count="3">
    <mergeCell ref="D1:E1"/>
    <mergeCell ref="D2:E2"/>
    <mergeCell ref="I4:I54"/>
  </mergeCells>
  <pageMargins left="0.45" right="0.2" top="0.7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63"/>
  <sheetViews>
    <sheetView zoomScaleNormal="100" workbookViewId="0"/>
  </sheetViews>
  <sheetFormatPr defaultRowHeight="14.25"/>
  <cols>
    <col min="1" max="1" width="3.46484375" customWidth="1"/>
    <col min="2" max="2" width="17.9296875" customWidth="1"/>
    <col min="3" max="3" width="4.3984375" customWidth="1"/>
    <col min="4" max="4" width="3.33203125" customWidth="1"/>
    <col min="5" max="5" width="4.33203125" customWidth="1"/>
    <col min="6" max="6" width="3.6640625" customWidth="1"/>
    <col min="7" max="7" width="4.19921875" customWidth="1"/>
    <col min="8" max="8" width="3.19921875" customWidth="1"/>
    <col min="9" max="9" width="3.796875" customWidth="1"/>
    <col min="10" max="10" width="3.265625" customWidth="1"/>
    <col min="11" max="11" width="5.9296875" customWidth="1"/>
    <col min="12" max="12" width="3.33203125" customWidth="1"/>
    <col min="13" max="13" width="4" customWidth="1"/>
    <col min="14" max="14" width="3.73046875" customWidth="1"/>
    <col min="15" max="15" width="3.86328125" customWidth="1"/>
    <col min="16" max="16" width="3.265625" customWidth="1"/>
    <col min="17" max="17" width="3.59765625" customWidth="1"/>
    <col min="18" max="18" width="3.265625" customWidth="1"/>
    <col min="19" max="19" width="4.73046875" customWidth="1"/>
    <col min="20" max="20" width="3.46484375" customWidth="1"/>
    <col min="21" max="21" width="4.86328125" customWidth="1"/>
    <col min="22" max="22" width="3.796875" customWidth="1"/>
    <col min="23" max="23" width="4.6640625" customWidth="1"/>
    <col min="24" max="24" width="3.1328125" customWidth="1"/>
    <col min="25" max="25" width="4.46484375" customWidth="1"/>
    <col min="26" max="26" width="3.86328125" customWidth="1"/>
    <col min="27" max="27" width="5.265625" customWidth="1"/>
    <col min="28" max="28" width="6.6640625" customWidth="1"/>
    <col min="29" max="29" width="5.46484375" customWidth="1"/>
    <col min="30" max="30" width="5.6640625" customWidth="1"/>
    <col min="31" max="31" width="4.53125" customWidth="1"/>
  </cols>
  <sheetData>
    <row r="1" spans="1:31">
      <c r="A1" s="89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88</v>
      </c>
      <c r="B2" s="1"/>
      <c r="C2" s="1"/>
      <c r="D2" s="1"/>
      <c r="E2" s="1"/>
      <c r="F2" s="1"/>
      <c r="G2" s="1"/>
      <c r="H2" s="1"/>
      <c r="I2" s="1"/>
      <c r="J2" s="1" t="s">
        <v>89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90</v>
      </c>
      <c r="Y2" s="1"/>
      <c r="Z2" s="1"/>
      <c r="AA2" s="1"/>
      <c r="AB2" s="1"/>
      <c r="AC2" s="1"/>
      <c r="AD2" s="1"/>
      <c r="AE2" s="1"/>
    </row>
    <row r="3" spans="1:31">
      <c r="A3" s="1" t="s">
        <v>91</v>
      </c>
      <c r="B3" s="1"/>
      <c r="C3" s="1"/>
      <c r="D3" s="1"/>
      <c r="E3" s="1"/>
      <c r="F3" s="1"/>
      <c r="G3" s="1"/>
      <c r="H3" s="1" t="s">
        <v>102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114</v>
      </c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98" t="s">
        <v>93</v>
      </c>
      <c r="B4" s="98" t="s">
        <v>5</v>
      </c>
      <c r="C4" s="96" t="s">
        <v>54</v>
      </c>
      <c r="D4" s="97"/>
      <c r="E4" s="96" t="s">
        <v>55</v>
      </c>
      <c r="F4" s="97"/>
      <c r="G4" s="96" t="s">
        <v>56</v>
      </c>
      <c r="H4" s="97"/>
      <c r="I4" s="96" t="s">
        <v>57</v>
      </c>
      <c r="J4" s="97"/>
      <c r="K4" s="96" t="s">
        <v>58</v>
      </c>
      <c r="L4" s="97"/>
      <c r="M4" s="96" t="s">
        <v>59</v>
      </c>
      <c r="N4" s="97"/>
      <c r="O4" s="96" t="s">
        <v>60</v>
      </c>
      <c r="P4" s="97"/>
      <c r="Q4" s="96" t="s">
        <v>61</v>
      </c>
      <c r="R4" s="97"/>
      <c r="S4" s="96" t="s">
        <v>94</v>
      </c>
      <c r="T4" s="97"/>
      <c r="U4" s="96" t="s">
        <v>63</v>
      </c>
      <c r="V4" s="97"/>
      <c r="W4" s="96" t="s">
        <v>64</v>
      </c>
      <c r="X4" s="97"/>
      <c r="Y4" s="96" t="s">
        <v>65</v>
      </c>
      <c r="Z4" s="97"/>
      <c r="AA4" s="6" t="s">
        <v>95</v>
      </c>
      <c r="AB4" s="6" t="s">
        <v>96</v>
      </c>
      <c r="AC4" s="6" t="s">
        <v>96</v>
      </c>
      <c r="AD4" s="6" t="s">
        <v>96</v>
      </c>
      <c r="AE4" s="98" t="s">
        <v>68</v>
      </c>
    </row>
    <row r="5" spans="1:31">
      <c r="A5" s="99"/>
      <c r="B5" s="99"/>
      <c r="C5" s="6" t="s">
        <v>95</v>
      </c>
      <c r="D5" s="6" t="s">
        <v>97</v>
      </c>
      <c r="E5" s="6" t="s">
        <v>95</v>
      </c>
      <c r="F5" s="6" t="s">
        <v>97</v>
      </c>
      <c r="G5" s="6" t="s">
        <v>95</v>
      </c>
      <c r="H5" s="6" t="s">
        <v>97</v>
      </c>
      <c r="I5" s="6" t="s">
        <v>95</v>
      </c>
      <c r="J5" s="6" t="s">
        <v>97</v>
      </c>
      <c r="K5" s="6" t="s">
        <v>95</v>
      </c>
      <c r="L5" s="6" t="s">
        <v>97</v>
      </c>
      <c r="M5" s="6" t="s">
        <v>95</v>
      </c>
      <c r="N5" s="6" t="s">
        <v>97</v>
      </c>
      <c r="O5" s="6" t="s">
        <v>95</v>
      </c>
      <c r="P5" s="6" t="s">
        <v>97</v>
      </c>
      <c r="Q5" s="6" t="s">
        <v>95</v>
      </c>
      <c r="R5" s="6" t="s">
        <v>97</v>
      </c>
      <c r="S5" s="6" t="s">
        <v>95</v>
      </c>
      <c r="T5" s="6" t="s">
        <v>97</v>
      </c>
      <c r="U5" s="6" t="s">
        <v>95</v>
      </c>
      <c r="V5" s="6" t="s">
        <v>97</v>
      </c>
      <c r="W5" s="6" t="s">
        <v>95</v>
      </c>
      <c r="X5" s="6" t="s">
        <v>97</v>
      </c>
      <c r="Y5" s="6" t="s">
        <v>95</v>
      </c>
      <c r="Z5" s="6" t="s">
        <v>97</v>
      </c>
      <c r="AA5" s="6" t="s">
        <v>98</v>
      </c>
      <c r="AB5" s="6" t="s">
        <v>98</v>
      </c>
      <c r="AC5" s="6" t="s">
        <v>99</v>
      </c>
      <c r="AD5" s="6" t="s">
        <v>100</v>
      </c>
      <c r="AE5" s="99"/>
    </row>
    <row r="6" spans="1:31" ht="17" customHeight="1">
      <c r="A6" s="62">
        <v>1</v>
      </c>
      <c r="B6" s="41" t="s">
        <v>12</v>
      </c>
      <c r="C6" s="62">
        <v>130</v>
      </c>
      <c r="D6" s="90">
        <v>1</v>
      </c>
      <c r="E6" s="62">
        <v>37</v>
      </c>
      <c r="F6" s="90">
        <v>1</v>
      </c>
      <c r="G6" s="62">
        <v>36</v>
      </c>
      <c r="H6" s="90">
        <v>1</v>
      </c>
      <c r="I6" s="62">
        <v>38</v>
      </c>
      <c r="J6" s="90">
        <v>1</v>
      </c>
      <c r="K6" s="62">
        <v>145</v>
      </c>
      <c r="L6" s="90">
        <v>1</v>
      </c>
      <c r="M6" s="62">
        <v>50</v>
      </c>
      <c r="N6" s="90">
        <v>1</v>
      </c>
      <c r="O6" s="62">
        <v>36</v>
      </c>
      <c r="P6" s="90">
        <v>1</v>
      </c>
      <c r="Q6" s="62">
        <v>36</v>
      </c>
      <c r="R6" s="90">
        <v>1</v>
      </c>
      <c r="S6" s="62">
        <v>25</v>
      </c>
      <c r="T6" s="90">
        <v>1</v>
      </c>
      <c r="U6" s="62">
        <v>95</v>
      </c>
      <c r="V6" s="90">
        <v>6</v>
      </c>
      <c r="W6" s="62">
        <v>37</v>
      </c>
      <c r="X6" s="90">
        <v>1</v>
      </c>
      <c r="Y6" s="62">
        <v>45</v>
      </c>
      <c r="Z6" s="90">
        <v>8</v>
      </c>
      <c r="AA6" s="62">
        <v>710</v>
      </c>
      <c r="AB6" s="57">
        <v>47.333333333333336</v>
      </c>
      <c r="AC6" s="57">
        <v>46.696825396825396</v>
      </c>
      <c r="AD6" s="57">
        <v>47.015079365079366</v>
      </c>
      <c r="AE6" s="90">
        <v>1</v>
      </c>
    </row>
    <row r="7" spans="1:31" ht="18" customHeight="1">
      <c r="A7" s="62">
        <v>2</v>
      </c>
      <c r="B7" s="41" t="s">
        <v>53</v>
      </c>
      <c r="C7" s="62">
        <v>120</v>
      </c>
      <c r="D7" s="90">
        <v>2</v>
      </c>
      <c r="E7" s="62">
        <v>37</v>
      </c>
      <c r="F7" s="90">
        <v>1</v>
      </c>
      <c r="G7" s="62">
        <v>35</v>
      </c>
      <c r="H7" s="90">
        <v>9</v>
      </c>
      <c r="I7" s="62">
        <v>33</v>
      </c>
      <c r="J7" s="90">
        <v>36</v>
      </c>
      <c r="K7" s="62">
        <v>145</v>
      </c>
      <c r="L7" s="90">
        <v>1</v>
      </c>
      <c r="M7" s="62">
        <v>50</v>
      </c>
      <c r="N7" s="90">
        <v>1</v>
      </c>
      <c r="O7" s="62">
        <v>36</v>
      </c>
      <c r="P7" s="90">
        <v>1</v>
      </c>
      <c r="Q7" s="62">
        <v>36</v>
      </c>
      <c r="R7" s="90">
        <v>1</v>
      </c>
      <c r="S7" s="62">
        <v>24</v>
      </c>
      <c r="T7" s="90">
        <v>16</v>
      </c>
      <c r="U7" s="62">
        <v>94</v>
      </c>
      <c r="V7" s="90">
        <v>15</v>
      </c>
      <c r="W7" s="62">
        <v>36</v>
      </c>
      <c r="X7" s="90">
        <v>12</v>
      </c>
      <c r="Y7" s="62">
        <v>45</v>
      </c>
      <c r="Z7" s="90">
        <v>8</v>
      </c>
      <c r="AA7" s="62">
        <v>691</v>
      </c>
      <c r="AB7" s="57">
        <v>46.06666666666667</v>
      </c>
      <c r="AC7" s="57">
        <v>44.182539682539677</v>
      </c>
      <c r="AD7" s="57">
        <v>45.124603174603173</v>
      </c>
      <c r="AE7" s="90">
        <v>2</v>
      </c>
    </row>
    <row r="8" spans="1:31" ht="18" customHeight="1">
      <c r="A8" s="62">
        <v>3</v>
      </c>
      <c r="B8" s="41" t="s">
        <v>42</v>
      </c>
      <c r="C8" s="62">
        <v>120</v>
      </c>
      <c r="D8" s="90">
        <v>2</v>
      </c>
      <c r="E8" s="62">
        <v>37</v>
      </c>
      <c r="F8" s="90">
        <v>1</v>
      </c>
      <c r="G8" s="62">
        <v>35</v>
      </c>
      <c r="H8" s="90">
        <v>9</v>
      </c>
      <c r="I8" s="62">
        <v>34</v>
      </c>
      <c r="J8" s="90">
        <v>19</v>
      </c>
      <c r="K8" s="62">
        <v>145</v>
      </c>
      <c r="L8" s="90">
        <v>1</v>
      </c>
      <c r="M8" s="62">
        <v>50</v>
      </c>
      <c r="N8" s="90">
        <v>1</v>
      </c>
      <c r="O8" s="62">
        <v>36</v>
      </c>
      <c r="P8" s="90">
        <v>1</v>
      </c>
      <c r="Q8" s="62">
        <v>36</v>
      </c>
      <c r="R8" s="90">
        <v>1</v>
      </c>
      <c r="S8" s="62">
        <v>24</v>
      </c>
      <c r="T8" s="90">
        <v>16</v>
      </c>
      <c r="U8" s="62">
        <v>94</v>
      </c>
      <c r="V8" s="90">
        <v>15</v>
      </c>
      <c r="W8" s="62">
        <v>37</v>
      </c>
      <c r="X8" s="90">
        <v>1</v>
      </c>
      <c r="Y8" s="62">
        <v>45</v>
      </c>
      <c r="Z8" s="90">
        <v>8</v>
      </c>
      <c r="AA8" s="62">
        <v>693</v>
      </c>
      <c r="AB8" s="57">
        <v>46.2</v>
      </c>
      <c r="AC8" s="57">
        <v>42.523809523809518</v>
      </c>
      <c r="AD8" s="57">
        <v>44.361904761904761</v>
      </c>
      <c r="AE8" s="90">
        <v>3</v>
      </c>
    </row>
    <row r="9" spans="1:31" ht="18" customHeight="1">
      <c r="A9" s="62">
        <v>4</v>
      </c>
      <c r="B9" s="41" t="s">
        <v>6</v>
      </c>
      <c r="C9" s="62">
        <v>120</v>
      </c>
      <c r="D9" s="90">
        <v>2</v>
      </c>
      <c r="E9" s="62">
        <v>36</v>
      </c>
      <c r="F9" s="90">
        <v>7</v>
      </c>
      <c r="G9" s="62">
        <v>35</v>
      </c>
      <c r="H9" s="90">
        <v>9</v>
      </c>
      <c r="I9" s="62">
        <v>35</v>
      </c>
      <c r="J9" s="90">
        <v>4</v>
      </c>
      <c r="K9" s="62">
        <v>140</v>
      </c>
      <c r="L9" s="90">
        <v>6</v>
      </c>
      <c r="M9" s="62">
        <v>48</v>
      </c>
      <c r="N9" s="90">
        <v>12</v>
      </c>
      <c r="O9" s="62">
        <v>36</v>
      </c>
      <c r="P9" s="90">
        <v>1</v>
      </c>
      <c r="Q9" s="62">
        <v>36</v>
      </c>
      <c r="R9" s="90">
        <v>1</v>
      </c>
      <c r="S9" s="62">
        <v>25</v>
      </c>
      <c r="T9" s="90">
        <v>1</v>
      </c>
      <c r="U9" s="62">
        <v>95</v>
      </c>
      <c r="V9" s="90">
        <v>6</v>
      </c>
      <c r="W9" s="62">
        <v>34</v>
      </c>
      <c r="X9" s="90">
        <v>30</v>
      </c>
      <c r="Y9" s="62">
        <v>45</v>
      </c>
      <c r="Z9" s="90">
        <v>8</v>
      </c>
      <c r="AA9" s="62">
        <v>685</v>
      </c>
      <c r="AB9" s="57">
        <v>45.666666666666664</v>
      </c>
      <c r="AC9" s="57">
        <v>42.731746031746034</v>
      </c>
      <c r="AD9" s="57">
        <v>44.199206349206349</v>
      </c>
      <c r="AE9" s="90">
        <v>4</v>
      </c>
    </row>
    <row r="10" spans="1:31" ht="18" customHeight="1">
      <c r="A10" s="62">
        <v>5</v>
      </c>
      <c r="B10" s="41" t="s">
        <v>47</v>
      </c>
      <c r="C10" s="62">
        <v>120</v>
      </c>
      <c r="D10" s="90">
        <v>2</v>
      </c>
      <c r="E10" s="62">
        <v>36</v>
      </c>
      <c r="F10" s="90">
        <v>7</v>
      </c>
      <c r="G10" s="62">
        <v>36</v>
      </c>
      <c r="H10" s="90">
        <v>1</v>
      </c>
      <c r="I10" s="62">
        <v>35</v>
      </c>
      <c r="J10" s="90">
        <v>4</v>
      </c>
      <c r="K10" s="62">
        <v>130</v>
      </c>
      <c r="L10" s="90">
        <v>11</v>
      </c>
      <c r="M10" s="62">
        <v>50</v>
      </c>
      <c r="N10" s="90">
        <v>1</v>
      </c>
      <c r="O10" s="62">
        <v>36</v>
      </c>
      <c r="P10" s="90">
        <v>1</v>
      </c>
      <c r="Q10" s="62">
        <v>35</v>
      </c>
      <c r="R10" s="90">
        <v>21</v>
      </c>
      <c r="S10" s="62">
        <v>25</v>
      </c>
      <c r="T10" s="90">
        <v>1</v>
      </c>
      <c r="U10" s="62">
        <v>95</v>
      </c>
      <c r="V10" s="90">
        <v>6</v>
      </c>
      <c r="W10" s="62">
        <v>37</v>
      </c>
      <c r="X10" s="90">
        <v>1</v>
      </c>
      <c r="Y10" s="62">
        <v>45</v>
      </c>
      <c r="Z10" s="90">
        <v>8</v>
      </c>
      <c r="AA10" s="62">
        <v>680</v>
      </c>
      <c r="AB10" s="57">
        <v>45.333333333333336</v>
      </c>
      <c r="AC10" s="57">
        <v>42.38095238095238</v>
      </c>
      <c r="AD10" s="57">
        <v>43.857142857142861</v>
      </c>
      <c r="AE10" s="90">
        <v>5</v>
      </c>
    </row>
    <row r="11" spans="1:31" ht="18" customHeight="1">
      <c r="A11" s="62">
        <v>6</v>
      </c>
      <c r="B11" s="41" t="s">
        <v>29</v>
      </c>
      <c r="C11" s="62">
        <v>100</v>
      </c>
      <c r="D11" s="90">
        <v>17</v>
      </c>
      <c r="E11" s="62">
        <v>37</v>
      </c>
      <c r="F11" s="90">
        <v>1</v>
      </c>
      <c r="G11" s="62">
        <v>36</v>
      </c>
      <c r="H11" s="90">
        <v>1</v>
      </c>
      <c r="I11" s="62">
        <v>35</v>
      </c>
      <c r="J11" s="90">
        <v>4</v>
      </c>
      <c r="K11" s="62">
        <v>145</v>
      </c>
      <c r="L11" s="90">
        <v>1</v>
      </c>
      <c r="M11" s="62">
        <v>15</v>
      </c>
      <c r="N11" s="90">
        <v>26</v>
      </c>
      <c r="O11" s="62">
        <v>36</v>
      </c>
      <c r="P11" s="90">
        <v>1</v>
      </c>
      <c r="Q11" s="62">
        <v>36</v>
      </c>
      <c r="R11" s="90">
        <v>1</v>
      </c>
      <c r="S11" s="62">
        <v>25</v>
      </c>
      <c r="T11" s="90">
        <v>1</v>
      </c>
      <c r="U11" s="62">
        <v>96</v>
      </c>
      <c r="V11" s="90">
        <v>3</v>
      </c>
      <c r="W11" s="62">
        <v>37</v>
      </c>
      <c r="X11" s="90">
        <v>1</v>
      </c>
      <c r="Y11" s="62">
        <v>45</v>
      </c>
      <c r="Z11" s="90">
        <v>8</v>
      </c>
      <c r="AA11" s="62">
        <v>643</v>
      </c>
      <c r="AB11" s="57">
        <v>42.866666666666667</v>
      </c>
      <c r="AC11" s="57">
        <v>44.195238095238096</v>
      </c>
      <c r="AD11" s="57">
        <v>43.530952380952385</v>
      </c>
      <c r="AE11" s="90">
        <v>6</v>
      </c>
    </row>
    <row r="12" spans="1:31" ht="18" customHeight="1">
      <c r="A12" s="62">
        <v>7</v>
      </c>
      <c r="B12" s="41" t="s">
        <v>19</v>
      </c>
      <c r="C12" s="62">
        <v>110</v>
      </c>
      <c r="D12" s="90">
        <v>12</v>
      </c>
      <c r="E12" s="62">
        <v>37</v>
      </c>
      <c r="F12" s="90">
        <v>1</v>
      </c>
      <c r="G12" s="62">
        <v>35</v>
      </c>
      <c r="H12" s="90">
        <v>9</v>
      </c>
      <c r="I12" s="62">
        <v>35</v>
      </c>
      <c r="J12" s="90">
        <v>4</v>
      </c>
      <c r="K12" s="62">
        <v>145</v>
      </c>
      <c r="L12" s="90">
        <v>1</v>
      </c>
      <c r="M12" s="62">
        <v>25</v>
      </c>
      <c r="N12" s="90">
        <v>14</v>
      </c>
      <c r="O12" s="62">
        <v>13</v>
      </c>
      <c r="P12" s="90">
        <v>41</v>
      </c>
      <c r="Q12" s="62">
        <v>36</v>
      </c>
      <c r="R12" s="90">
        <v>1</v>
      </c>
      <c r="S12" s="62">
        <v>24</v>
      </c>
      <c r="T12" s="90">
        <v>16</v>
      </c>
      <c r="U12" s="62">
        <v>93</v>
      </c>
      <c r="V12" s="90">
        <v>23</v>
      </c>
      <c r="W12" s="62">
        <v>37</v>
      </c>
      <c r="X12" s="90">
        <v>1</v>
      </c>
      <c r="Y12" s="62">
        <v>45</v>
      </c>
      <c r="Z12" s="90">
        <v>8</v>
      </c>
      <c r="AA12" s="62">
        <v>635</v>
      </c>
      <c r="AB12" s="57">
        <v>42.333333333333336</v>
      </c>
      <c r="AC12" s="57">
        <v>44.009523809523813</v>
      </c>
      <c r="AD12" s="57">
        <v>43.171428571428578</v>
      </c>
      <c r="AE12" s="90">
        <v>7</v>
      </c>
    </row>
    <row r="13" spans="1:31" ht="18" customHeight="1">
      <c r="A13" s="62">
        <v>8</v>
      </c>
      <c r="B13" s="41" t="s">
        <v>36</v>
      </c>
      <c r="C13" s="62">
        <v>120</v>
      </c>
      <c r="D13" s="90">
        <v>2</v>
      </c>
      <c r="E13" s="62">
        <v>36</v>
      </c>
      <c r="F13" s="90">
        <v>7</v>
      </c>
      <c r="G13" s="62">
        <v>35</v>
      </c>
      <c r="H13" s="90">
        <v>9</v>
      </c>
      <c r="I13" s="62">
        <v>36</v>
      </c>
      <c r="J13" s="90">
        <v>2</v>
      </c>
      <c r="K13" s="62">
        <v>140</v>
      </c>
      <c r="L13" s="90">
        <v>6</v>
      </c>
      <c r="M13" s="62">
        <v>25</v>
      </c>
      <c r="N13" s="90">
        <v>14</v>
      </c>
      <c r="O13" s="62">
        <v>13</v>
      </c>
      <c r="P13" s="90">
        <v>41</v>
      </c>
      <c r="Q13" s="62">
        <v>36</v>
      </c>
      <c r="R13" s="90">
        <v>1</v>
      </c>
      <c r="S13" s="62">
        <v>24</v>
      </c>
      <c r="T13" s="90">
        <v>16</v>
      </c>
      <c r="U13" s="62">
        <v>98</v>
      </c>
      <c r="V13" s="90">
        <v>1</v>
      </c>
      <c r="W13" s="62">
        <v>36</v>
      </c>
      <c r="X13" s="90">
        <v>12</v>
      </c>
      <c r="Y13" s="62">
        <v>45</v>
      </c>
      <c r="Z13" s="90">
        <v>8</v>
      </c>
      <c r="AA13" s="62">
        <v>644</v>
      </c>
      <c r="AB13" s="57">
        <v>42.93333333333333</v>
      </c>
      <c r="AC13" s="57">
        <v>42.471428571428568</v>
      </c>
      <c r="AD13" s="57">
        <v>42.702380952380949</v>
      </c>
      <c r="AE13" s="90">
        <v>8</v>
      </c>
    </row>
    <row r="14" spans="1:31" ht="18" customHeight="1">
      <c r="A14" s="62">
        <v>9</v>
      </c>
      <c r="B14" s="41" t="s">
        <v>18</v>
      </c>
      <c r="C14" s="62">
        <v>110</v>
      </c>
      <c r="D14" s="90">
        <v>12</v>
      </c>
      <c r="E14" s="62">
        <v>36</v>
      </c>
      <c r="F14" s="90">
        <v>7</v>
      </c>
      <c r="G14" s="62">
        <v>35</v>
      </c>
      <c r="H14" s="90">
        <v>9</v>
      </c>
      <c r="I14" s="62">
        <v>35</v>
      </c>
      <c r="J14" s="90">
        <v>4</v>
      </c>
      <c r="K14" s="62">
        <v>130</v>
      </c>
      <c r="L14" s="90">
        <v>11</v>
      </c>
      <c r="M14" s="62">
        <v>25</v>
      </c>
      <c r="N14" s="90">
        <v>14</v>
      </c>
      <c r="O14" s="62">
        <v>36</v>
      </c>
      <c r="P14" s="90">
        <v>1</v>
      </c>
      <c r="Q14" s="62">
        <v>36</v>
      </c>
      <c r="R14" s="90">
        <v>1</v>
      </c>
      <c r="S14" s="62">
        <v>25</v>
      </c>
      <c r="T14" s="90">
        <v>1</v>
      </c>
      <c r="U14" s="62">
        <v>95</v>
      </c>
      <c r="V14" s="90">
        <v>6</v>
      </c>
      <c r="W14" s="62">
        <v>35</v>
      </c>
      <c r="X14" s="90">
        <v>17</v>
      </c>
      <c r="Y14" s="62">
        <v>45</v>
      </c>
      <c r="Z14" s="90">
        <v>8</v>
      </c>
      <c r="AA14" s="62">
        <v>643</v>
      </c>
      <c r="AB14" s="57">
        <v>42.866666666666667</v>
      </c>
      <c r="AC14" s="57">
        <v>42.485714285714288</v>
      </c>
      <c r="AD14" s="57">
        <v>42.676190476190477</v>
      </c>
      <c r="AE14" s="90">
        <v>9</v>
      </c>
    </row>
    <row r="15" spans="1:31" ht="18" customHeight="1">
      <c r="A15" s="62">
        <v>10</v>
      </c>
      <c r="B15" s="41" t="s">
        <v>23</v>
      </c>
      <c r="C15" s="62">
        <v>110</v>
      </c>
      <c r="D15" s="90">
        <v>12</v>
      </c>
      <c r="E15" s="62">
        <v>36</v>
      </c>
      <c r="F15" s="90">
        <v>7</v>
      </c>
      <c r="G15" s="62">
        <v>35</v>
      </c>
      <c r="H15" s="90">
        <v>9</v>
      </c>
      <c r="I15" s="62">
        <v>35</v>
      </c>
      <c r="J15" s="90">
        <v>4</v>
      </c>
      <c r="K15" s="62">
        <v>130</v>
      </c>
      <c r="L15" s="90">
        <v>11</v>
      </c>
      <c r="M15" s="62">
        <v>25</v>
      </c>
      <c r="N15" s="90">
        <v>14</v>
      </c>
      <c r="O15" s="62">
        <v>36</v>
      </c>
      <c r="P15" s="90">
        <v>1</v>
      </c>
      <c r="Q15" s="62">
        <v>36</v>
      </c>
      <c r="R15" s="90">
        <v>1</v>
      </c>
      <c r="S15" s="62">
        <v>25</v>
      </c>
      <c r="T15" s="90">
        <v>1</v>
      </c>
      <c r="U15" s="62">
        <v>92</v>
      </c>
      <c r="V15" s="90">
        <v>30</v>
      </c>
      <c r="W15" s="62">
        <v>37</v>
      </c>
      <c r="X15" s="90">
        <v>1</v>
      </c>
      <c r="Y15" s="62">
        <v>45</v>
      </c>
      <c r="Z15" s="90">
        <v>8</v>
      </c>
      <c r="AA15" s="62">
        <v>642</v>
      </c>
      <c r="AB15" s="57">
        <v>42.8</v>
      </c>
      <c r="AC15" s="57">
        <v>42.152380952380952</v>
      </c>
      <c r="AD15" s="57">
        <v>42.476190476190474</v>
      </c>
      <c r="AE15" s="90">
        <v>10</v>
      </c>
    </row>
    <row r="16" spans="1:31" ht="18" customHeight="1">
      <c r="A16" s="62">
        <v>11</v>
      </c>
      <c r="B16" s="41" t="s">
        <v>74</v>
      </c>
      <c r="C16" s="62">
        <v>120</v>
      </c>
      <c r="D16" s="90">
        <v>2</v>
      </c>
      <c r="E16" s="62">
        <v>36</v>
      </c>
      <c r="F16" s="90">
        <v>7</v>
      </c>
      <c r="G16" s="62">
        <v>36</v>
      </c>
      <c r="H16" s="90">
        <v>1</v>
      </c>
      <c r="I16" s="62">
        <v>35</v>
      </c>
      <c r="J16" s="90">
        <v>4</v>
      </c>
      <c r="K16" s="62">
        <v>130</v>
      </c>
      <c r="L16" s="90">
        <v>11</v>
      </c>
      <c r="M16" s="62">
        <v>15</v>
      </c>
      <c r="N16" s="90">
        <v>26</v>
      </c>
      <c r="O16" s="62">
        <v>36</v>
      </c>
      <c r="P16" s="90">
        <v>1</v>
      </c>
      <c r="Q16" s="62">
        <v>36</v>
      </c>
      <c r="R16" s="90">
        <v>1</v>
      </c>
      <c r="S16" s="62">
        <v>24</v>
      </c>
      <c r="T16" s="90">
        <v>16</v>
      </c>
      <c r="U16" s="62">
        <v>90</v>
      </c>
      <c r="V16" s="90">
        <v>39</v>
      </c>
      <c r="W16" s="62">
        <v>37</v>
      </c>
      <c r="X16" s="90">
        <v>1</v>
      </c>
      <c r="Y16" s="62">
        <v>45</v>
      </c>
      <c r="Z16" s="90">
        <v>8</v>
      </c>
      <c r="AA16" s="62">
        <v>640</v>
      </c>
      <c r="AB16" s="57">
        <v>42.666666666666664</v>
      </c>
      <c r="AC16" s="57">
        <v>41.922222222222224</v>
      </c>
      <c r="AD16" s="57">
        <v>42.294444444444444</v>
      </c>
      <c r="AE16" s="90">
        <v>11</v>
      </c>
    </row>
    <row r="17" spans="1:31" ht="18" customHeight="1">
      <c r="A17" s="62">
        <v>12</v>
      </c>
      <c r="B17" s="41" t="s">
        <v>43</v>
      </c>
      <c r="C17" s="62">
        <v>120</v>
      </c>
      <c r="D17" s="90">
        <v>2</v>
      </c>
      <c r="E17" s="62">
        <v>36</v>
      </c>
      <c r="F17" s="90">
        <v>7</v>
      </c>
      <c r="G17" s="62">
        <v>35</v>
      </c>
      <c r="H17" s="90">
        <v>9</v>
      </c>
      <c r="I17" s="62">
        <v>35</v>
      </c>
      <c r="J17" s="90">
        <v>4</v>
      </c>
      <c r="K17" s="62">
        <v>140</v>
      </c>
      <c r="L17" s="90">
        <v>6</v>
      </c>
      <c r="M17" s="62">
        <v>25</v>
      </c>
      <c r="N17" s="90">
        <v>14</v>
      </c>
      <c r="O17" s="62">
        <v>18</v>
      </c>
      <c r="P17" s="90">
        <v>27</v>
      </c>
      <c r="Q17" s="62">
        <v>36</v>
      </c>
      <c r="R17" s="90">
        <v>1</v>
      </c>
      <c r="S17" s="62">
        <v>25</v>
      </c>
      <c r="T17" s="90">
        <v>1</v>
      </c>
      <c r="U17" s="62">
        <v>97</v>
      </c>
      <c r="V17" s="90">
        <v>2</v>
      </c>
      <c r="W17" s="62">
        <v>36</v>
      </c>
      <c r="X17" s="90">
        <v>12</v>
      </c>
      <c r="Y17" s="62">
        <v>45</v>
      </c>
      <c r="Z17" s="90">
        <v>8</v>
      </c>
      <c r="AA17" s="62">
        <v>648</v>
      </c>
      <c r="AB17" s="57">
        <v>43.2</v>
      </c>
      <c r="AC17" s="57">
        <v>41.190476190476183</v>
      </c>
      <c r="AD17" s="57">
        <v>42.195238095238096</v>
      </c>
      <c r="AE17" s="90">
        <v>12</v>
      </c>
    </row>
    <row r="18" spans="1:31" ht="18" customHeight="1">
      <c r="A18" s="62">
        <v>13</v>
      </c>
      <c r="B18" s="41" t="s">
        <v>10</v>
      </c>
      <c r="C18" s="62">
        <v>115</v>
      </c>
      <c r="D18" s="90">
        <v>11</v>
      </c>
      <c r="E18" s="62">
        <v>37</v>
      </c>
      <c r="F18" s="90">
        <v>1</v>
      </c>
      <c r="G18" s="62">
        <v>35</v>
      </c>
      <c r="H18" s="90">
        <v>9</v>
      </c>
      <c r="I18" s="62">
        <v>33</v>
      </c>
      <c r="J18" s="90">
        <v>36</v>
      </c>
      <c r="K18" s="62">
        <v>140</v>
      </c>
      <c r="L18" s="90">
        <v>6</v>
      </c>
      <c r="M18" s="62">
        <v>50</v>
      </c>
      <c r="N18" s="90">
        <v>1</v>
      </c>
      <c r="O18" s="62">
        <v>36</v>
      </c>
      <c r="P18" s="90">
        <v>1</v>
      </c>
      <c r="Q18" s="62">
        <v>35</v>
      </c>
      <c r="R18" s="90">
        <v>21</v>
      </c>
      <c r="S18" s="62">
        <v>24</v>
      </c>
      <c r="T18" s="90">
        <v>16</v>
      </c>
      <c r="U18" s="62">
        <v>92</v>
      </c>
      <c r="V18" s="90">
        <v>30</v>
      </c>
      <c r="W18" s="62">
        <v>37</v>
      </c>
      <c r="X18" s="90">
        <v>1</v>
      </c>
      <c r="Y18" s="62">
        <v>45</v>
      </c>
      <c r="Z18" s="90">
        <v>8</v>
      </c>
      <c r="AA18" s="62">
        <v>679</v>
      </c>
      <c r="AB18" s="57">
        <v>45.266666666666666</v>
      </c>
      <c r="AC18" s="57">
        <v>38.152380952380952</v>
      </c>
      <c r="AD18" s="57">
        <v>41.709523809523809</v>
      </c>
      <c r="AE18" s="90">
        <v>13</v>
      </c>
    </row>
    <row r="19" spans="1:31" ht="18" customHeight="1">
      <c r="A19" s="62">
        <v>14</v>
      </c>
      <c r="B19" s="41" t="s">
        <v>26</v>
      </c>
      <c r="C19" s="62">
        <v>90</v>
      </c>
      <c r="D19" s="90">
        <v>21</v>
      </c>
      <c r="E19" s="62">
        <v>36</v>
      </c>
      <c r="F19" s="90">
        <v>7</v>
      </c>
      <c r="G19" s="62">
        <v>35</v>
      </c>
      <c r="H19" s="90">
        <v>9</v>
      </c>
      <c r="I19" s="62">
        <v>35</v>
      </c>
      <c r="J19" s="90">
        <v>4</v>
      </c>
      <c r="K19" s="62">
        <v>140</v>
      </c>
      <c r="L19" s="90">
        <v>6</v>
      </c>
      <c r="M19" s="62">
        <v>25</v>
      </c>
      <c r="N19" s="90">
        <v>14</v>
      </c>
      <c r="O19" s="62">
        <v>20</v>
      </c>
      <c r="P19" s="90">
        <v>20</v>
      </c>
      <c r="Q19" s="62">
        <v>36</v>
      </c>
      <c r="R19" s="90">
        <v>1</v>
      </c>
      <c r="S19" s="62">
        <v>25</v>
      </c>
      <c r="T19" s="90">
        <v>1</v>
      </c>
      <c r="U19" s="62">
        <v>95</v>
      </c>
      <c r="V19" s="90">
        <v>6</v>
      </c>
      <c r="W19" s="62">
        <v>37</v>
      </c>
      <c r="X19" s="90">
        <v>1</v>
      </c>
      <c r="Y19" s="62">
        <v>45</v>
      </c>
      <c r="Z19" s="90">
        <v>8</v>
      </c>
      <c r="AA19" s="62">
        <v>619</v>
      </c>
      <c r="AB19" s="57">
        <v>41.266666666666666</v>
      </c>
      <c r="AC19" s="57">
        <v>41.485714285714288</v>
      </c>
      <c r="AD19" s="57">
        <v>41.376190476190473</v>
      </c>
      <c r="AE19" s="90">
        <v>14</v>
      </c>
    </row>
    <row r="20" spans="1:31" ht="18" customHeight="1">
      <c r="A20" s="62">
        <v>15</v>
      </c>
      <c r="B20" s="41" t="s">
        <v>27</v>
      </c>
      <c r="C20" s="62">
        <v>120</v>
      </c>
      <c r="D20" s="90">
        <v>2</v>
      </c>
      <c r="E20" s="62">
        <v>35</v>
      </c>
      <c r="F20" s="90">
        <v>35</v>
      </c>
      <c r="G20" s="62">
        <v>35</v>
      </c>
      <c r="H20" s="90">
        <v>9</v>
      </c>
      <c r="I20" s="62">
        <v>34</v>
      </c>
      <c r="J20" s="90">
        <v>19</v>
      </c>
      <c r="K20" s="62">
        <v>130</v>
      </c>
      <c r="L20" s="90">
        <v>11</v>
      </c>
      <c r="M20" s="62">
        <v>25</v>
      </c>
      <c r="N20" s="90">
        <v>14</v>
      </c>
      <c r="O20" s="62">
        <v>14</v>
      </c>
      <c r="P20" s="90">
        <v>40</v>
      </c>
      <c r="Q20" s="62">
        <v>36</v>
      </c>
      <c r="R20" s="90">
        <v>1</v>
      </c>
      <c r="S20" s="62">
        <v>25</v>
      </c>
      <c r="T20" s="90">
        <v>1</v>
      </c>
      <c r="U20" s="62">
        <v>96</v>
      </c>
      <c r="V20" s="90">
        <v>3</v>
      </c>
      <c r="W20" s="62">
        <v>36</v>
      </c>
      <c r="X20" s="90">
        <v>12</v>
      </c>
      <c r="Y20" s="62">
        <v>45</v>
      </c>
      <c r="Z20" s="90">
        <v>8</v>
      </c>
      <c r="AA20" s="62">
        <v>631</v>
      </c>
      <c r="AB20" s="57">
        <v>42.06666666666667</v>
      </c>
      <c r="AC20" s="57">
        <v>39.806349206349203</v>
      </c>
      <c r="AD20" s="57">
        <v>40.936507936507937</v>
      </c>
      <c r="AE20" s="90">
        <v>15</v>
      </c>
    </row>
    <row r="21" spans="1:31" ht="18" customHeight="1">
      <c r="A21" s="62">
        <v>16</v>
      </c>
      <c r="B21" s="41" t="s">
        <v>28</v>
      </c>
      <c r="C21" s="62">
        <v>70</v>
      </c>
      <c r="D21" s="90">
        <v>36</v>
      </c>
      <c r="E21" s="62">
        <v>36</v>
      </c>
      <c r="F21" s="90">
        <v>7</v>
      </c>
      <c r="G21" s="62">
        <v>33</v>
      </c>
      <c r="H21" s="90">
        <v>31</v>
      </c>
      <c r="I21" s="62">
        <v>34</v>
      </c>
      <c r="J21" s="90">
        <v>19</v>
      </c>
      <c r="K21" s="62">
        <v>120</v>
      </c>
      <c r="L21" s="90">
        <v>20</v>
      </c>
      <c r="M21" s="62">
        <v>48</v>
      </c>
      <c r="N21" s="90">
        <v>12</v>
      </c>
      <c r="O21" s="62">
        <v>36</v>
      </c>
      <c r="P21" s="90">
        <v>1</v>
      </c>
      <c r="Q21" s="62">
        <v>35</v>
      </c>
      <c r="R21" s="90">
        <v>21</v>
      </c>
      <c r="S21" s="62">
        <v>25</v>
      </c>
      <c r="T21" s="90">
        <v>1</v>
      </c>
      <c r="U21" s="62">
        <v>94</v>
      </c>
      <c r="V21" s="90">
        <v>15</v>
      </c>
      <c r="W21" s="62">
        <v>35</v>
      </c>
      <c r="X21" s="90">
        <v>17</v>
      </c>
      <c r="Y21" s="62">
        <v>48</v>
      </c>
      <c r="Z21" s="90">
        <v>1</v>
      </c>
      <c r="AA21" s="62">
        <v>614</v>
      </c>
      <c r="AB21" s="57">
        <v>40.93333333333333</v>
      </c>
      <c r="AC21" s="57">
        <v>39.36349206349206</v>
      </c>
      <c r="AD21" s="57">
        <v>40.148412698412699</v>
      </c>
      <c r="AE21" s="90">
        <v>16</v>
      </c>
    </row>
    <row r="22" spans="1:31" ht="18" customHeight="1">
      <c r="A22" s="62">
        <v>17</v>
      </c>
      <c r="B22" s="41" t="s">
        <v>24</v>
      </c>
      <c r="C22" s="62">
        <v>70</v>
      </c>
      <c r="D22" s="90">
        <v>36</v>
      </c>
      <c r="E22" s="62">
        <v>36</v>
      </c>
      <c r="F22" s="90">
        <v>7</v>
      </c>
      <c r="G22" s="62">
        <v>35</v>
      </c>
      <c r="H22" s="90">
        <v>9</v>
      </c>
      <c r="I22" s="62">
        <v>33</v>
      </c>
      <c r="J22" s="90">
        <v>36</v>
      </c>
      <c r="K22" s="62">
        <v>130</v>
      </c>
      <c r="L22" s="90">
        <v>11</v>
      </c>
      <c r="M22" s="62">
        <v>20</v>
      </c>
      <c r="N22" s="90">
        <v>24</v>
      </c>
      <c r="O22" s="62">
        <v>36</v>
      </c>
      <c r="P22" s="90">
        <v>1</v>
      </c>
      <c r="Q22" s="62">
        <v>36</v>
      </c>
      <c r="R22" s="90">
        <v>1</v>
      </c>
      <c r="S22" s="62">
        <v>25</v>
      </c>
      <c r="T22" s="90">
        <v>1</v>
      </c>
      <c r="U22" s="62">
        <v>95</v>
      </c>
      <c r="V22" s="90">
        <v>6</v>
      </c>
      <c r="W22" s="62">
        <v>37</v>
      </c>
      <c r="X22" s="90">
        <v>1</v>
      </c>
      <c r="Y22" s="62">
        <v>45</v>
      </c>
      <c r="Z22" s="90">
        <v>8</v>
      </c>
      <c r="AA22" s="62">
        <v>598</v>
      </c>
      <c r="AB22" s="57">
        <v>39.866666666666667</v>
      </c>
      <c r="AC22" s="57">
        <v>39.893650793650792</v>
      </c>
      <c r="AD22" s="57">
        <v>39.880158730158726</v>
      </c>
      <c r="AE22" s="90">
        <v>17</v>
      </c>
    </row>
    <row r="23" spans="1:31" ht="18" customHeight="1">
      <c r="A23" s="62">
        <v>18</v>
      </c>
      <c r="B23" s="41" t="s">
        <v>40</v>
      </c>
      <c r="C23" s="62">
        <v>100</v>
      </c>
      <c r="D23" s="90">
        <v>17</v>
      </c>
      <c r="E23" s="62">
        <v>36</v>
      </c>
      <c r="F23" s="90">
        <v>7</v>
      </c>
      <c r="G23" s="62">
        <v>33</v>
      </c>
      <c r="H23" s="90">
        <v>31</v>
      </c>
      <c r="I23" s="62">
        <v>33</v>
      </c>
      <c r="J23" s="90">
        <v>36</v>
      </c>
      <c r="K23" s="62">
        <v>130</v>
      </c>
      <c r="L23" s="90">
        <v>11</v>
      </c>
      <c r="M23" s="62">
        <v>15</v>
      </c>
      <c r="N23" s="90">
        <v>26</v>
      </c>
      <c r="O23" s="62">
        <v>17</v>
      </c>
      <c r="P23" s="90">
        <v>37</v>
      </c>
      <c r="Q23" s="62">
        <v>34</v>
      </c>
      <c r="R23" s="90">
        <v>29</v>
      </c>
      <c r="S23" s="62">
        <v>15</v>
      </c>
      <c r="T23" s="90">
        <v>32</v>
      </c>
      <c r="U23" s="62">
        <v>94</v>
      </c>
      <c r="V23" s="90">
        <v>15</v>
      </c>
      <c r="W23" s="62">
        <v>35</v>
      </c>
      <c r="X23" s="90">
        <v>17</v>
      </c>
      <c r="Y23" s="62">
        <v>45</v>
      </c>
      <c r="Z23" s="90">
        <v>8</v>
      </c>
      <c r="AA23" s="62">
        <v>587</v>
      </c>
      <c r="AB23" s="57">
        <v>39.133333333333333</v>
      </c>
      <c r="AC23" s="57">
        <v>37.211111111111109</v>
      </c>
      <c r="AD23" s="57">
        <v>38.172222222222217</v>
      </c>
      <c r="AE23" s="90">
        <v>18</v>
      </c>
    </row>
    <row r="24" spans="1:31" ht="18" customHeight="1">
      <c r="A24" s="62">
        <v>19</v>
      </c>
      <c r="B24" s="41" t="s">
        <v>49</v>
      </c>
      <c r="C24" s="62">
        <v>50</v>
      </c>
      <c r="D24" s="90">
        <v>40</v>
      </c>
      <c r="E24" s="62">
        <v>36</v>
      </c>
      <c r="F24" s="90">
        <v>7</v>
      </c>
      <c r="G24" s="62">
        <v>35</v>
      </c>
      <c r="H24" s="90">
        <v>9</v>
      </c>
      <c r="I24" s="62">
        <v>34</v>
      </c>
      <c r="J24" s="90">
        <v>19</v>
      </c>
      <c r="K24" s="62">
        <v>130</v>
      </c>
      <c r="L24" s="90">
        <v>11</v>
      </c>
      <c r="M24" s="62">
        <v>50</v>
      </c>
      <c r="N24" s="90">
        <v>1</v>
      </c>
      <c r="O24" s="62">
        <v>36</v>
      </c>
      <c r="P24" s="90">
        <v>1</v>
      </c>
      <c r="Q24" s="62">
        <v>36</v>
      </c>
      <c r="R24" s="90">
        <v>1</v>
      </c>
      <c r="S24" s="62">
        <v>24</v>
      </c>
      <c r="T24" s="90">
        <v>16</v>
      </c>
      <c r="U24" s="62">
        <v>91</v>
      </c>
      <c r="V24" s="90">
        <v>33</v>
      </c>
      <c r="W24" s="62">
        <v>34</v>
      </c>
      <c r="X24" s="90">
        <v>30</v>
      </c>
      <c r="Y24" s="62">
        <v>45</v>
      </c>
      <c r="Z24" s="90">
        <v>8</v>
      </c>
      <c r="AA24" s="62">
        <v>601</v>
      </c>
      <c r="AB24" s="57">
        <v>40.06666666666667</v>
      </c>
      <c r="AC24" s="57">
        <v>35.273015873015872</v>
      </c>
      <c r="AD24" s="57">
        <v>37.669841269841271</v>
      </c>
      <c r="AE24" s="90">
        <v>19</v>
      </c>
    </row>
    <row r="25" spans="1:31" ht="18" customHeight="1">
      <c r="A25" s="62">
        <v>20</v>
      </c>
      <c r="B25" s="41" t="s">
        <v>25</v>
      </c>
      <c r="C25" s="62">
        <v>110</v>
      </c>
      <c r="D25" s="90">
        <v>12</v>
      </c>
      <c r="E25" s="62">
        <v>34</v>
      </c>
      <c r="F25" s="90">
        <v>36</v>
      </c>
      <c r="G25" s="62">
        <v>33</v>
      </c>
      <c r="H25" s="90">
        <v>31</v>
      </c>
      <c r="I25" s="62">
        <v>33</v>
      </c>
      <c r="J25" s="90">
        <v>36</v>
      </c>
      <c r="K25" s="62">
        <v>100</v>
      </c>
      <c r="L25" s="90">
        <v>27</v>
      </c>
      <c r="M25" s="62">
        <v>10</v>
      </c>
      <c r="N25" s="90">
        <v>39</v>
      </c>
      <c r="O25" s="62">
        <v>36</v>
      </c>
      <c r="P25" s="90">
        <v>1</v>
      </c>
      <c r="Q25" s="62">
        <v>34</v>
      </c>
      <c r="R25" s="90">
        <v>29</v>
      </c>
      <c r="S25" s="62">
        <v>24</v>
      </c>
      <c r="T25" s="90">
        <v>16</v>
      </c>
      <c r="U25" s="62">
        <v>95</v>
      </c>
      <c r="V25" s="90">
        <v>6</v>
      </c>
      <c r="W25" s="62">
        <v>35</v>
      </c>
      <c r="X25" s="90">
        <v>17</v>
      </c>
      <c r="Y25" s="62">
        <v>47</v>
      </c>
      <c r="Z25" s="90">
        <v>2</v>
      </c>
      <c r="AA25" s="62">
        <v>591</v>
      </c>
      <c r="AB25" s="57">
        <v>39.4</v>
      </c>
      <c r="AC25" s="57">
        <v>34.726984126984128</v>
      </c>
      <c r="AD25" s="57">
        <v>37.063492063492063</v>
      </c>
      <c r="AE25" s="90">
        <v>20</v>
      </c>
    </row>
    <row r="26" spans="1:31" ht="18" customHeight="1">
      <c r="A26" s="62">
        <v>21</v>
      </c>
      <c r="B26" s="41" t="s">
        <v>14</v>
      </c>
      <c r="C26" s="62">
        <v>65</v>
      </c>
      <c r="D26" s="90">
        <v>38</v>
      </c>
      <c r="E26" s="62">
        <v>36</v>
      </c>
      <c r="F26" s="90">
        <v>7</v>
      </c>
      <c r="G26" s="62">
        <v>35</v>
      </c>
      <c r="H26" s="90">
        <v>9</v>
      </c>
      <c r="I26" s="62">
        <v>0</v>
      </c>
      <c r="J26" s="90">
        <v>45</v>
      </c>
      <c r="K26" s="62">
        <v>130</v>
      </c>
      <c r="L26" s="90">
        <v>11</v>
      </c>
      <c r="M26" s="62">
        <v>50</v>
      </c>
      <c r="N26" s="90">
        <v>1</v>
      </c>
      <c r="O26" s="62">
        <v>35</v>
      </c>
      <c r="P26" s="90">
        <v>17</v>
      </c>
      <c r="Q26" s="62">
        <v>35</v>
      </c>
      <c r="R26" s="90">
        <v>21</v>
      </c>
      <c r="S26" s="62">
        <v>20</v>
      </c>
      <c r="T26" s="90">
        <v>30</v>
      </c>
      <c r="U26" s="62">
        <v>95</v>
      </c>
      <c r="V26" s="90">
        <v>6</v>
      </c>
      <c r="W26" s="62">
        <v>0</v>
      </c>
      <c r="X26" s="90">
        <v>40</v>
      </c>
      <c r="Y26" s="62">
        <v>45</v>
      </c>
      <c r="Z26" s="90">
        <v>8</v>
      </c>
      <c r="AA26" s="62">
        <v>546</v>
      </c>
      <c r="AB26" s="57">
        <v>36.4</v>
      </c>
      <c r="AC26" s="57">
        <v>37.388888888888893</v>
      </c>
      <c r="AD26" s="57">
        <v>36.894444444444446</v>
      </c>
      <c r="AE26" s="90">
        <v>21</v>
      </c>
    </row>
    <row r="27" spans="1:31" ht="18" customHeight="1">
      <c r="A27" s="62">
        <v>22</v>
      </c>
      <c r="B27" s="41" t="s">
        <v>7</v>
      </c>
      <c r="C27" s="62">
        <v>80</v>
      </c>
      <c r="D27" s="90">
        <v>27</v>
      </c>
      <c r="E27" s="62">
        <v>36</v>
      </c>
      <c r="F27" s="90">
        <v>7</v>
      </c>
      <c r="G27" s="62">
        <v>0</v>
      </c>
      <c r="H27" s="90">
        <v>47</v>
      </c>
      <c r="I27" s="62">
        <v>34</v>
      </c>
      <c r="J27" s="90">
        <v>19</v>
      </c>
      <c r="K27" s="62">
        <v>120</v>
      </c>
      <c r="L27" s="90">
        <v>20</v>
      </c>
      <c r="M27" s="62">
        <v>10</v>
      </c>
      <c r="N27" s="90">
        <v>39</v>
      </c>
      <c r="O27" s="62">
        <v>8</v>
      </c>
      <c r="P27" s="90">
        <v>43</v>
      </c>
      <c r="Q27" s="62">
        <v>36</v>
      </c>
      <c r="R27" s="90">
        <v>1</v>
      </c>
      <c r="S27" s="62">
        <v>15</v>
      </c>
      <c r="T27" s="90">
        <v>32</v>
      </c>
      <c r="U27" s="62">
        <v>94</v>
      </c>
      <c r="V27" s="90">
        <v>15</v>
      </c>
      <c r="W27" s="62">
        <v>37</v>
      </c>
      <c r="X27" s="90">
        <v>1</v>
      </c>
      <c r="Y27" s="62">
        <v>45</v>
      </c>
      <c r="Z27" s="90">
        <v>8</v>
      </c>
      <c r="AA27" s="62">
        <v>515</v>
      </c>
      <c r="AB27" s="57">
        <v>34.333333333333336</v>
      </c>
      <c r="AC27" s="57">
        <v>36.495238095238101</v>
      </c>
      <c r="AD27" s="57">
        <v>35.414285714285718</v>
      </c>
      <c r="AE27" s="90">
        <v>22</v>
      </c>
    </row>
    <row r="28" spans="1:31" ht="18" customHeight="1">
      <c r="A28" s="62">
        <v>23</v>
      </c>
      <c r="B28" s="41" t="s">
        <v>22</v>
      </c>
      <c r="C28" s="62">
        <v>90</v>
      </c>
      <c r="D28" s="90">
        <v>21</v>
      </c>
      <c r="E28" s="62">
        <v>36</v>
      </c>
      <c r="F28" s="90">
        <v>7</v>
      </c>
      <c r="G28" s="62">
        <v>35</v>
      </c>
      <c r="H28" s="90">
        <v>9</v>
      </c>
      <c r="I28" s="62">
        <v>34</v>
      </c>
      <c r="J28" s="90">
        <v>19</v>
      </c>
      <c r="K28" s="62">
        <v>120</v>
      </c>
      <c r="L28" s="90">
        <v>20</v>
      </c>
      <c r="M28" s="62">
        <v>10</v>
      </c>
      <c r="N28" s="90">
        <v>39</v>
      </c>
      <c r="O28" s="62">
        <v>8</v>
      </c>
      <c r="P28" s="90">
        <v>43</v>
      </c>
      <c r="Q28" s="62">
        <v>36</v>
      </c>
      <c r="R28" s="90">
        <v>1</v>
      </c>
      <c r="S28" s="62">
        <v>15</v>
      </c>
      <c r="T28" s="90">
        <v>32</v>
      </c>
      <c r="U28" s="62">
        <v>93</v>
      </c>
      <c r="V28" s="90">
        <v>23</v>
      </c>
      <c r="W28" s="62">
        <v>35</v>
      </c>
      <c r="X28" s="90">
        <v>17</v>
      </c>
      <c r="Y28" s="62">
        <v>47</v>
      </c>
      <c r="Z28" s="90">
        <v>2</v>
      </c>
      <c r="AA28" s="62">
        <v>559</v>
      </c>
      <c r="AB28" s="57">
        <v>37.266666666666666</v>
      </c>
      <c r="AC28" s="57">
        <v>33.374603174603173</v>
      </c>
      <c r="AD28" s="57">
        <v>35.320634920634916</v>
      </c>
      <c r="AE28" s="90">
        <v>23</v>
      </c>
    </row>
    <row r="29" spans="1:31" ht="18" customHeight="1">
      <c r="A29" s="62">
        <v>24</v>
      </c>
      <c r="B29" s="41" t="s">
        <v>21</v>
      </c>
      <c r="C29" s="62">
        <v>80</v>
      </c>
      <c r="D29" s="90">
        <v>27</v>
      </c>
      <c r="E29" s="62">
        <v>34</v>
      </c>
      <c r="F29" s="90">
        <v>36</v>
      </c>
      <c r="G29" s="62">
        <v>34</v>
      </c>
      <c r="H29" s="90">
        <v>29</v>
      </c>
      <c r="I29" s="62">
        <v>34</v>
      </c>
      <c r="J29" s="90">
        <v>19</v>
      </c>
      <c r="K29" s="62">
        <v>100</v>
      </c>
      <c r="L29" s="90">
        <v>27</v>
      </c>
      <c r="M29" s="62">
        <v>15</v>
      </c>
      <c r="N29" s="90">
        <v>26</v>
      </c>
      <c r="O29" s="62">
        <v>20</v>
      </c>
      <c r="P29" s="90">
        <v>20</v>
      </c>
      <c r="Q29" s="62">
        <v>35</v>
      </c>
      <c r="R29" s="90">
        <v>21</v>
      </c>
      <c r="S29" s="62">
        <v>24</v>
      </c>
      <c r="T29" s="90">
        <v>16</v>
      </c>
      <c r="U29" s="62">
        <v>93</v>
      </c>
      <c r="V29" s="90">
        <v>23</v>
      </c>
      <c r="W29" s="62">
        <v>35</v>
      </c>
      <c r="X29" s="90">
        <v>17</v>
      </c>
      <c r="Y29" s="62">
        <v>45</v>
      </c>
      <c r="Z29" s="90">
        <v>8</v>
      </c>
      <c r="AA29" s="62">
        <v>549</v>
      </c>
      <c r="AB29" s="57">
        <v>36.6</v>
      </c>
      <c r="AC29" s="57">
        <v>33.893650793650799</v>
      </c>
      <c r="AD29" s="57">
        <v>35.2468253968254</v>
      </c>
      <c r="AE29" s="90">
        <v>24</v>
      </c>
    </row>
    <row r="30" spans="1:31" ht="18" customHeight="1">
      <c r="A30" s="62">
        <v>25</v>
      </c>
      <c r="B30" s="41" t="s">
        <v>38</v>
      </c>
      <c r="C30" s="62">
        <v>90</v>
      </c>
      <c r="D30" s="90">
        <v>21</v>
      </c>
      <c r="E30" s="62">
        <v>34</v>
      </c>
      <c r="F30" s="90">
        <v>36</v>
      </c>
      <c r="G30" s="62">
        <v>26</v>
      </c>
      <c r="H30" s="90">
        <v>45</v>
      </c>
      <c r="I30" s="62">
        <v>34</v>
      </c>
      <c r="J30" s="90">
        <v>19</v>
      </c>
      <c r="K30" s="62">
        <v>100</v>
      </c>
      <c r="L30" s="90">
        <v>27</v>
      </c>
      <c r="M30" s="62">
        <v>15</v>
      </c>
      <c r="N30" s="90">
        <v>26</v>
      </c>
      <c r="O30" s="62">
        <v>7</v>
      </c>
      <c r="P30" s="90">
        <v>47</v>
      </c>
      <c r="Q30" s="62">
        <v>34</v>
      </c>
      <c r="R30" s="90">
        <v>29</v>
      </c>
      <c r="S30" s="62">
        <v>15</v>
      </c>
      <c r="T30" s="90">
        <v>32</v>
      </c>
      <c r="U30" s="62">
        <v>90</v>
      </c>
      <c r="V30" s="90">
        <v>39</v>
      </c>
      <c r="W30" s="62">
        <v>34</v>
      </c>
      <c r="X30" s="90">
        <v>30</v>
      </c>
      <c r="Y30" s="62">
        <v>45</v>
      </c>
      <c r="Z30" s="90">
        <v>8</v>
      </c>
      <c r="AA30" s="62">
        <v>524</v>
      </c>
      <c r="AB30" s="57">
        <v>34.93333333333333</v>
      </c>
      <c r="AC30" s="57">
        <v>34.807936507936503</v>
      </c>
      <c r="AD30" s="57">
        <v>34.870634920634913</v>
      </c>
      <c r="AE30" s="90">
        <v>25</v>
      </c>
    </row>
    <row r="31" spans="1:31" ht="18" customHeight="1">
      <c r="A31" s="62">
        <v>26</v>
      </c>
      <c r="B31" s="41" t="s">
        <v>20</v>
      </c>
      <c r="C31" s="62">
        <v>35</v>
      </c>
      <c r="D31" s="90">
        <v>42</v>
      </c>
      <c r="E31" s="62">
        <v>34</v>
      </c>
      <c r="F31" s="90">
        <v>36</v>
      </c>
      <c r="G31" s="62">
        <v>36</v>
      </c>
      <c r="H31" s="90">
        <v>1</v>
      </c>
      <c r="I31" s="62">
        <v>35</v>
      </c>
      <c r="J31" s="90">
        <v>4</v>
      </c>
      <c r="K31" s="62">
        <v>120</v>
      </c>
      <c r="L31" s="90">
        <v>20</v>
      </c>
      <c r="M31" s="62">
        <v>50</v>
      </c>
      <c r="N31" s="90">
        <v>1</v>
      </c>
      <c r="O31" s="62">
        <v>36</v>
      </c>
      <c r="P31" s="90">
        <v>1</v>
      </c>
      <c r="Q31" s="62">
        <v>31</v>
      </c>
      <c r="R31" s="90">
        <v>40</v>
      </c>
      <c r="S31" s="62">
        <v>13</v>
      </c>
      <c r="T31" s="90">
        <v>39</v>
      </c>
      <c r="U31" s="62">
        <v>96</v>
      </c>
      <c r="V31" s="90">
        <v>3</v>
      </c>
      <c r="W31" s="62">
        <v>34</v>
      </c>
      <c r="X31" s="90">
        <v>30</v>
      </c>
      <c r="Y31" s="62">
        <v>45</v>
      </c>
      <c r="Z31" s="90">
        <v>8</v>
      </c>
      <c r="AA31" s="62">
        <v>565</v>
      </c>
      <c r="AB31" s="57">
        <v>37.666666666666664</v>
      </c>
      <c r="AC31" s="57">
        <v>31.633333333333336</v>
      </c>
      <c r="AD31" s="57">
        <v>34.65</v>
      </c>
      <c r="AE31" s="90">
        <v>26</v>
      </c>
    </row>
    <row r="32" spans="1:31" ht="18" customHeight="1">
      <c r="A32" s="62">
        <v>27</v>
      </c>
      <c r="B32" s="41" t="s">
        <v>15</v>
      </c>
      <c r="C32" s="62">
        <v>120</v>
      </c>
      <c r="D32" s="90">
        <v>2</v>
      </c>
      <c r="E32" s="62">
        <v>36</v>
      </c>
      <c r="F32" s="90">
        <v>7</v>
      </c>
      <c r="G32" s="62">
        <v>35</v>
      </c>
      <c r="H32" s="90">
        <v>9</v>
      </c>
      <c r="I32" s="62">
        <v>34</v>
      </c>
      <c r="J32" s="90">
        <v>19</v>
      </c>
      <c r="K32" s="62">
        <v>75</v>
      </c>
      <c r="L32" s="90">
        <v>38</v>
      </c>
      <c r="M32" s="62">
        <v>15</v>
      </c>
      <c r="N32" s="90">
        <v>26</v>
      </c>
      <c r="O32" s="62">
        <v>18</v>
      </c>
      <c r="P32" s="90">
        <v>27</v>
      </c>
      <c r="Q32" s="62">
        <v>35</v>
      </c>
      <c r="R32" s="90">
        <v>21</v>
      </c>
      <c r="S32" s="62">
        <v>25</v>
      </c>
      <c r="T32" s="90">
        <v>1</v>
      </c>
      <c r="U32" s="62">
        <v>95</v>
      </c>
      <c r="V32" s="90">
        <v>6</v>
      </c>
      <c r="W32" s="62">
        <v>35</v>
      </c>
      <c r="X32" s="90">
        <v>17</v>
      </c>
      <c r="Y32" s="62">
        <v>45</v>
      </c>
      <c r="Z32" s="90">
        <v>8</v>
      </c>
      <c r="AA32" s="62">
        <v>568</v>
      </c>
      <c r="AB32" s="57">
        <v>37.866666666666667</v>
      </c>
      <c r="AC32" s="57">
        <v>30.644444444444446</v>
      </c>
      <c r="AD32" s="57">
        <v>34.25555555555556</v>
      </c>
      <c r="AE32" s="90">
        <v>27</v>
      </c>
    </row>
    <row r="33" spans="1:31" ht="18" customHeight="1">
      <c r="A33" s="62">
        <v>28</v>
      </c>
      <c r="B33" s="41" t="s">
        <v>45</v>
      </c>
      <c r="C33" s="62">
        <v>90</v>
      </c>
      <c r="D33" s="90">
        <v>21</v>
      </c>
      <c r="E33" s="62">
        <v>36</v>
      </c>
      <c r="F33" s="90">
        <v>7</v>
      </c>
      <c r="G33" s="62">
        <v>36</v>
      </c>
      <c r="H33" s="90">
        <v>1</v>
      </c>
      <c r="I33" s="62">
        <v>35</v>
      </c>
      <c r="J33" s="90">
        <v>4</v>
      </c>
      <c r="K33" s="62">
        <v>75</v>
      </c>
      <c r="L33" s="90">
        <v>38</v>
      </c>
      <c r="M33" s="62">
        <v>15</v>
      </c>
      <c r="N33" s="90">
        <v>26</v>
      </c>
      <c r="O33" s="62">
        <v>18</v>
      </c>
      <c r="P33" s="90">
        <v>27</v>
      </c>
      <c r="Q33" s="62">
        <v>36</v>
      </c>
      <c r="R33" s="90">
        <v>1</v>
      </c>
      <c r="S33" s="62">
        <v>24</v>
      </c>
      <c r="T33" s="90">
        <v>16</v>
      </c>
      <c r="U33" s="62">
        <v>85</v>
      </c>
      <c r="V33" s="90">
        <v>42</v>
      </c>
      <c r="W33" s="62">
        <v>34</v>
      </c>
      <c r="X33" s="90">
        <v>30</v>
      </c>
      <c r="Y33" s="62">
        <v>45</v>
      </c>
      <c r="Z33" s="90">
        <v>8</v>
      </c>
      <c r="AA33" s="62">
        <v>529</v>
      </c>
      <c r="AB33" s="57">
        <v>35.266666666666666</v>
      </c>
      <c r="AC33" s="57">
        <v>32.19047619047619</v>
      </c>
      <c r="AD33" s="57">
        <v>33.728571428571428</v>
      </c>
      <c r="AE33" s="90">
        <v>28</v>
      </c>
    </row>
    <row r="34" spans="1:31" ht="18" customHeight="1">
      <c r="A34" s="62">
        <v>29</v>
      </c>
      <c r="B34" s="41" t="s">
        <v>9</v>
      </c>
      <c r="C34" s="62">
        <v>95</v>
      </c>
      <c r="D34" s="90">
        <v>20</v>
      </c>
      <c r="E34" s="62">
        <v>36</v>
      </c>
      <c r="F34" s="90">
        <v>7</v>
      </c>
      <c r="G34" s="62">
        <v>35</v>
      </c>
      <c r="H34" s="90">
        <v>9</v>
      </c>
      <c r="I34" s="62">
        <v>34</v>
      </c>
      <c r="J34" s="90">
        <v>19</v>
      </c>
      <c r="K34" s="62">
        <v>75</v>
      </c>
      <c r="L34" s="90">
        <v>38</v>
      </c>
      <c r="M34" s="62">
        <v>15</v>
      </c>
      <c r="N34" s="90">
        <v>26</v>
      </c>
      <c r="O34" s="62">
        <v>20</v>
      </c>
      <c r="P34" s="90">
        <v>20</v>
      </c>
      <c r="Q34" s="62">
        <v>36</v>
      </c>
      <c r="R34" s="90">
        <v>1</v>
      </c>
      <c r="S34" s="62">
        <v>24</v>
      </c>
      <c r="T34" s="90">
        <v>16</v>
      </c>
      <c r="U34" s="62">
        <v>94</v>
      </c>
      <c r="V34" s="90">
        <v>15</v>
      </c>
      <c r="W34" s="62">
        <v>36</v>
      </c>
      <c r="X34" s="90">
        <v>12</v>
      </c>
      <c r="Y34" s="62">
        <v>45</v>
      </c>
      <c r="Z34" s="90">
        <v>8</v>
      </c>
      <c r="AA34" s="62">
        <v>545</v>
      </c>
      <c r="AB34" s="57">
        <v>36.333333333333336</v>
      </c>
      <c r="AC34" s="57">
        <v>29.687301587301587</v>
      </c>
      <c r="AD34" s="57">
        <v>33.010317460317459</v>
      </c>
      <c r="AE34" s="90">
        <v>29</v>
      </c>
    </row>
    <row r="35" spans="1:31" ht="18" customHeight="1">
      <c r="A35" s="62">
        <v>30</v>
      </c>
      <c r="B35" s="41" t="s">
        <v>34</v>
      </c>
      <c r="C35" s="62">
        <v>90</v>
      </c>
      <c r="D35" s="90">
        <v>21</v>
      </c>
      <c r="E35" s="62">
        <v>36</v>
      </c>
      <c r="F35" s="90">
        <v>7</v>
      </c>
      <c r="G35" s="62">
        <v>33</v>
      </c>
      <c r="H35" s="90">
        <v>31</v>
      </c>
      <c r="I35" s="62">
        <v>34</v>
      </c>
      <c r="J35" s="90">
        <v>19</v>
      </c>
      <c r="K35" s="62">
        <v>100</v>
      </c>
      <c r="L35" s="90">
        <v>27</v>
      </c>
      <c r="M35" s="62">
        <v>25</v>
      </c>
      <c r="N35" s="90">
        <v>14</v>
      </c>
      <c r="O35" s="62">
        <v>18</v>
      </c>
      <c r="P35" s="90">
        <v>27</v>
      </c>
      <c r="Q35" s="62">
        <v>32</v>
      </c>
      <c r="R35" s="90">
        <v>37</v>
      </c>
      <c r="S35" s="62">
        <v>25</v>
      </c>
      <c r="T35" s="90">
        <v>1</v>
      </c>
      <c r="U35" s="62">
        <v>90</v>
      </c>
      <c r="V35" s="90">
        <v>39</v>
      </c>
      <c r="W35" s="62">
        <v>34</v>
      </c>
      <c r="X35" s="90">
        <v>30</v>
      </c>
      <c r="Y35" s="62">
        <v>45</v>
      </c>
      <c r="Z35" s="90">
        <v>8</v>
      </c>
      <c r="AA35" s="62">
        <v>562</v>
      </c>
      <c r="AB35" s="57">
        <v>37.466666666666669</v>
      </c>
      <c r="AC35" s="57">
        <v>27.858730158730157</v>
      </c>
      <c r="AD35" s="57">
        <v>32.662698412698411</v>
      </c>
      <c r="AE35" s="90">
        <v>30</v>
      </c>
    </row>
    <row r="36" spans="1:31" ht="18" customHeight="1">
      <c r="A36" s="62">
        <v>31</v>
      </c>
      <c r="B36" s="41" t="s">
        <v>16</v>
      </c>
      <c r="C36" s="62">
        <v>80</v>
      </c>
      <c r="D36" s="90">
        <v>27</v>
      </c>
      <c r="E36" s="62">
        <v>36</v>
      </c>
      <c r="F36" s="90">
        <v>7</v>
      </c>
      <c r="G36" s="62">
        <v>30</v>
      </c>
      <c r="H36" s="90">
        <v>42</v>
      </c>
      <c r="I36" s="62">
        <v>34</v>
      </c>
      <c r="J36" s="90">
        <v>19</v>
      </c>
      <c r="K36" s="62">
        <v>75</v>
      </c>
      <c r="L36" s="90">
        <v>38</v>
      </c>
      <c r="M36" s="62">
        <v>15</v>
      </c>
      <c r="N36" s="90">
        <v>26</v>
      </c>
      <c r="O36" s="62">
        <v>20</v>
      </c>
      <c r="P36" s="90">
        <v>20</v>
      </c>
      <c r="Q36" s="62">
        <v>34</v>
      </c>
      <c r="R36" s="90">
        <v>29</v>
      </c>
      <c r="S36" s="62">
        <v>25</v>
      </c>
      <c r="T36" s="90">
        <v>1</v>
      </c>
      <c r="U36" s="62">
        <v>92</v>
      </c>
      <c r="V36" s="90">
        <v>30</v>
      </c>
      <c r="W36" s="62">
        <v>35</v>
      </c>
      <c r="X36" s="90">
        <v>17</v>
      </c>
      <c r="Y36" s="62">
        <v>46</v>
      </c>
      <c r="Z36" s="90">
        <v>5</v>
      </c>
      <c r="AA36" s="62">
        <v>522</v>
      </c>
      <c r="AB36" s="57">
        <v>34.799999999999997</v>
      </c>
      <c r="AC36" s="57">
        <v>28.925396825396827</v>
      </c>
      <c r="AD36" s="57">
        <v>31.862698412698414</v>
      </c>
      <c r="AE36" s="90">
        <v>31</v>
      </c>
    </row>
    <row r="37" spans="1:31" ht="18" customHeight="1">
      <c r="A37" s="62">
        <v>32</v>
      </c>
      <c r="B37" s="41" t="s">
        <v>48</v>
      </c>
      <c r="C37" s="62">
        <v>80</v>
      </c>
      <c r="D37" s="90">
        <v>27</v>
      </c>
      <c r="E37" s="62">
        <v>36</v>
      </c>
      <c r="F37" s="90">
        <v>7</v>
      </c>
      <c r="G37" s="62">
        <v>34</v>
      </c>
      <c r="H37" s="90">
        <v>29</v>
      </c>
      <c r="I37" s="62">
        <v>34</v>
      </c>
      <c r="J37" s="90">
        <v>19</v>
      </c>
      <c r="K37" s="62">
        <v>120</v>
      </c>
      <c r="L37" s="90">
        <v>20</v>
      </c>
      <c r="M37" s="62">
        <v>0</v>
      </c>
      <c r="N37" s="90">
        <v>47</v>
      </c>
      <c r="O37" s="62">
        <v>8</v>
      </c>
      <c r="P37" s="90">
        <v>43</v>
      </c>
      <c r="Q37" s="62">
        <v>28</v>
      </c>
      <c r="R37" s="90">
        <v>47</v>
      </c>
      <c r="S37" s="62">
        <v>13</v>
      </c>
      <c r="T37" s="90">
        <v>39</v>
      </c>
      <c r="U37" s="62">
        <v>81</v>
      </c>
      <c r="V37" s="90">
        <v>44</v>
      </c>
      <c r="W37" s="62">
        <v>35</v>
      </c>
      <c r="X37" s="90">
        <v>17</v>
      </c>
      <c r="Y37" s="62">
        <v>45</v>
      </c>
      <c r="Z37" s="90">
        <v>8</v>
      </c>
      <c r="AA37" s="62">
        <v>514</v>
      </c>
      <c r="AB37" s="57">
        <v>34.266666666666666</v>
      </c>
      <c r="AC37" s="57">
        <v>29.095238095238098</v>
      </c>
      <c r="AD37" s="57">
        <v>31.680952380952384</v>
      </c>
      <c r="AE37" s="90">
        <v>32</v>
      </c>
    </row>
    <row r="38" spans="1:31" ht="18" customHeight="1">
      <c r="A38" s="62">
        <v>33</v>
      </c>
      <c r="B38" s="41" t="s">
        <v>30</v>
      </c>
      <c r="C38" s="62">
        <v>50</v>
      </c>
      <c r="D38" s="90">
        <v>40</v>
      </c>
      <c r="E38" s="62">
        <v>34</v>
      </c>
      <c r="F38" s="90">
        <v>36</v>
      </c>
      <c r="G38" s="62">
        <v>23</v>
      </c>
      <c r="H38" s="90">
        <v>46</v>
      </c>
      <c r="I38" s="62">
        <v>33</v>
      </c>
      <c r="J38" s="90">
        <v>36</v>
      </c>
      <c r="K38" s="62">
        <v>100</v>
      </c>
      <c r="L38" s="90">
        <v>27</v>
      </c>
      <c r="M38" s="62">
        <v>10</v>
      </c>
      <c r="N38" s="90">
        <v>39</v>
      </c>
      <c r="O38" s="62">
        <v>35</v>
      </c>
      <c r="P38" s="90">
        <v>17</v>
      </c>
      <c r="Q38" s="62">
        <v>35</v>
      </c>
      <c r="R38" s="90">
        <v>21</v>
      </c>
      <c r="S38" s="62">
        <v>15</v>
      </c>
      <c r="T38" s="90">
        <v>32</v>
      </c>
      <c r="U38" s="62">
        <v>93</v>
      </c>
      <c r="V38" s="90">
        <v>23</v>
      </c>
      <c r="W38" s="62">
        <v>35</v>
      </c>
      <c r="X38" s="90">
        <v>17</v>
      </c>
      <c r="Y38" s="62">
        <v>47</v>
      </c>
      <c r="Z38" s="90">
        <v>2</v>
      </c>
      <c r="AA38" s="62">
        <v>510</v>
      </c>
      <c r="AB38" s="57">
        <v>34</v>
      </c>
      <c r="AC38" s="57">
        <v>28.953968253968252</v>
      </c>
      <c r="AD38" s="57">
        <v>31.476984126984128</v>
      </c>
      <c r="AE38" s="90">
        <v>33</v>
      </c>
    </row>
    <row r="39" spans="1:31" ht="18" customHeight="1">
      <c r="A39" s="62">
        <v>34</v>
      </c>
      <c r="B39" s="41" t="s">
        <v>46</v>
      </c>
      <c r="C39" s="62">
        <v>80</v>
      </c>
      <c r="D39" s="90">
        <v>27</v>
      </c>
      <c r="E39" s="62">
        <v>36</v>
      </c>
      <c r="F39" s="90">
        <v>7</v>
      </c>
      <c r="G39" s="62">
        <v>35</v>
      </c>
      <c r="H39" s="90">
        <v>9</v>
      </c>
      <c r="I39" s="62">
        <v>33</v>
      </c>
      <c r="J39" s="90">
        <v>36</v>
      </c>
      <c r="K39" s="62">
        <v>100</v>
      </c>
      <c r="L39" s="90">
        <v>27</v>
      </c>
      <c r="M39" s="62">
        <v>15</v>
      </c>
      <c r="N39" s="90">
        <v>26</v>
      </c>
      <c r="O39" s="62">
        <v>8</v>
      </c>
      <c r="P39" s="90">
        <v>43</v>
      </c>
      <c r="Q39" s="62">
        <v>32</v>
      </c>
      <c r="R39" s="90">
        <v>37</v>
      </c>
      <c r="S39" s="62">
        <v>15</v>
      </c>
      <c r="T39" s="90">
        <v>32</v>
      </c>
      <c r="U39" s="62">
        <v>91</v>
      </c>
      <c r="V39" s="90">
        <v>33</v>
      </c>
      <c r="W39" s="62">
        <v>30</v>
      </c>
      <c r="X39" s="90">
        <v>39</v>
      </c>
      <c r="Y39" s="62">
        <v>45</v>
      </c>
      <c r="Z39" s="90">
        <v>8</v>
      </c>
      <c r="AA39" s="62">
        <v>520</v>
      </c>
      <c r="AB39" s="57">
        <v>34.666666666666664</v>
      </c>
      <c r="AC39" s="57">
        <v>28.150793650793656</v>
      </c>
      <c r="AD39" s="57">
        <v>31.408730158730158</v>
      </c>
      <c r="AE39" s="90">
        <v>34</v>
      </c>
    </row>
    <row r="40" spans="1:31" ht="18" customHeight="1">
      <c r="A40" s="62">
        <v>35</v>
      </c>
      <c r="B40" s="41" t="s">
        <v>37</v>
      </c>
      <c r="C40" s="62">
        <v>100</v>
      </c>
      <c r="D40" s="90">
        <v>17</v>
      </c>
      <c r="E40" s="62">
        <v>36</v>
      </c>
      <c r="F40" s="90">
        <v>7</v>
      </c>
      <c r="G40" s="62">
        <v>27</v>
      </c>
      <c r="H40" s="90">
        <v>44</v>
      </c>
      <c r="I40" s="62">
        <v>35</v>
      </c>
      <c r="J40" s="90">
        <v>4</v>
      </c>
      <c r="K40" s="62">
        <v>75</v>
      </c>
      <c r="L40" s="90">
        <v>38</v>
      </c>
      <c r="M40" s="62">
        <v>15</v>
      </c>
      <c r="N40" s="90">
        <v>26</v>
      </c>
      <c r="O40" s="62">
        <v>18</v>
      </c>
      <c r="P40" s="90">
        <v>27</v>
      </c>
      <c r="Q40" s="62">
        <v>34</v>
      </c>
      <c r="R40" s="90">
        <v>29</v>
      </c>
      <c r="S40" s="62">
        <v>14</v>
      </c>
      <c r="T40" s="90">
        <v>38</v>
      </c>
      <c r="U40" s="62">
        <v>93</v>
      </c>
      <c r="V40" s="90">
        <v>23</v>
      </c>
      <c r="W40" s="62">
        <v>35</v>
      </c>
      <c r="X40" s="90">
        <v>17</v>
      </c>
      <c r="Y40" s="62">
        <v>45</v>
      </c>
      <c r="Z40" s="90">
        <v>8</v>
      </c>
      <c r="AA40" s="62">
        <v>527</v>
      </c>
      <c r="AB40" s="57">
        <v>35.133333333333333</v>
      </c>
      <c r="AC40" s="57">
        <v>27.638095238095236</v>
      </c>
      <c r="AD40" s="57">
        <v>31.385714285714286</v>
      </c>
      <c r="AE40" s="90">
        <v>35</v>
      </c>
    </row>
    <row r="41" spans="1:31" ht="18" customHeight="1">
      <c r="A41" s="62">
        <v>36</v>
      </c>
      <c r="B41" s="41" t="s">
        <v>52</v>
      </c>
      <c r="C41" s="62">
        <v>110</v>
      </c>
      <c r="D41" s="90">
        <v>12</v>
      </c>
      <c r="E41" s="62">
        <v>36</v>
      </c>
      <c r="F41" s="90">
        <v>7</v>
      </c>
      <c r="G41" s="62">
        <v>30</v>
      </c>
      <c r="H41" s="90">
        <v>42</v>
      </c>
      <c r="I41" s="62">
        <v>34</v>
      </c>
      <c r="J41" s="90">
        <v>19</v>
      </c>
      <c r="K41" s="62">
        <v>75</v>
      </c>
      <c r="L41" s="90">
        <v>38</v>
      </c>
      <c r="M41" s="62">
        <v>15</v>
      </c>
      <c r="N41" s="90">
        <v>26</v>
      </c>
      <c r="O41" s="62">
        <v>20</v>
      </c>
      <c r="P41" s="90">
        <v>20</v>
      </c>
      <c r="Q41" s="62">
        <v>34</v>
      </c>
      <c r="R41" s="90">
        <v>29</v>
      </c>
      <c r="S41" s="62">
        <v>18</v>
      </c>
      <c r="T41" s="90">
        <v>31</v>
      </c>
      <c r="U41" s="62">
        <v>93</v>
      </c>
      <c r="V41" s="90">
        <v>23</v>
      </c>
      <c r="W41" s="62">
        <v>34</v>
      </c>
      <c r="X41" s="90">
        <v>30</v>
      </c>
      <c r="Y41" s="62">
        <v>45</v>
      </c>
      <c r="Z41" s="90">
        <v>8</v>
      </c>
      <c r="AA41" s="62">
        <v>544</v>
      </c>
      <c r="AB41" s="57">
        <v>36.266666666666666</v>
      </c>
      <c r="AC41" s="57">
        <v>25.733333333333334</v>
      </c>
      <c r="AD41" s="57">
        <v>31</v>
      </c>
      <c r="AE41" s="90">
        <v>36</v>
      </c>
    </row>
    <row r="42" spans="1:31" ht="18" customHeight="1">
      <c r="A42" s="62">
        <v>37</v>
      </c>
      <c r="B42" s="41" t="s">
        <v>41</v>
      </c>
      <c r="C42" s="62">
        <v>90</v>
      </c>
      <c r="D42" s="90">
        <v>21</v>
      </c>
      <c r="E42" s="62">
        <v>36</v>
      </c>
      <c r="F42" s="90">
        <v>7</v>
      </c>
      <c r="G42" s="62">
        <v>33</v>
      </c>
      <c r="H42" s="90">
        <v>31</v>
      </c>
      <c r="I42" s="62">
        <v>34</v>
      </c>
      <c r="J42" s="90">
        <v>19</v>
      </c>
      <c r="K42" s="62">
        <v>90</v>
      </c>
      <c r="L42" s="90">
        <v>37</v>
      </c>
      <c r="M42" s="62">
        <v>15</v>
      </c>
      <c r="N42" s="90">
        <v>26</v>
      </c>
      <c r="O42" s="62">
        <v>20</v>
      </c>
      <c r="P42" s="90">
        <v>20</v>
      </c>
      <c r="Q42" s="62">
        <v>33</v>
      </c>
      <c r="R42" s="90">
        <v>35</v>
      </c>
      <c r="S42" s="62">
        <v>25</v>
      </c>
      <c r="T42" s="90">
        <v>1</v>
      </c>
      <c r="U42" s="62">
        <v>94</v>
      </c>
      <c r="V42" s="90">
        <v>15</v>
      </c>
      <c r="W42" s="62">
        <v>35</v>
      </c>
      <c r="X42" s="90">
        <v>17</v>
      </c>
      <c r="Y42" s="62">
        <v>45</v>
      </c>
      <c r="Z42" s="90">
        <v>8</v>
      </c>
      <c r="AA42" s="62">
        <v>550</v>
      </c>
      <c r="AB42" s="57">
        <v>36.666666666666664</v>
      </c>
      <c r="AC42" s="57">
        <v>25.120634920634924</v>
      </c>
      <c r="AD42" s="57">
        <v>30.893650793650792</v>
      </c>
      <c r="AE42" s="90">
        <v>37</v>
      </c>
    </row>
    <row r="43" spans="1:31" ht="18" customHeight="1">
      <c r="A43" s="62">
        <v>38</v>
      </c>
      <c r="B43" s="41" t="s">
        <v>73</v>
      </c>
      <c r="C43" s="62">
        <v>30</v>
      </c>
      <c r="D43" s="90">
        <v>43</v>
      </c>
      <c r="E43" s="62">
        <v>36</v>
      </c>
      <c r="F43" s="90">
        <v>7</v>
      </c>
      <c r="G43" s="62">
        <v>33</v>
      </c>
      <c r="H43" s="90">
        <v>31</v>
      </c>
      <c r="I43" s="62">
        <v>36</v>
      </c>
      <c r="J43" s="90">
        <v>2</v>
      </c>
      <c r="K43" s="62">
        <v>100</v>
      </c>
      <c r="L43" s="90">
        <v>27</v>
      </c>
      <c r="M43" s="62">
        <v>25</v>
      </c>
      <c r="N43" s="90">
        <v>14</v>
      </c>
      <c r="O43" s="62">
        <v>20</v>
      </c>
      <c r="P43" s="90">
        <v>20</v>
      </c>
      <c r="Q43" s="62">
        <v>31</v>
      </c>
      <c r="R43" s="90">
        <v>40</v>
      </c>
      <c r="S43" s="62">
        <v>23</v>
      </c>
      <c r="T43" s="90">
        <v>29</v>
      </c>
      <c r="U43" s="62">
        <v>93</v>
      </c>
      <c r="V43" s="90">
        <v>23</v>
      </c>
      <c r="W43" s="62">
        <v>34</v>
      </c>
      <c r="X43" s="90">
        <v>30</v>
      </c>
      <c r="Y43" s="62">
        <v>46</v>
      </c>
      <c r="Z43" s="90">
        <v>5</v>
      </c>
      <c r="AA43" s="62">
        <v>507</v>
      </c>
      <c r="AB43" s="57">
        <v>33.799999999999997</v>
      </c>
      <c r="AC43" s="57">
        <v>26.987301587301584</v>
      </c>
      <c r="AD43" s="57">
        <v>30.393650793650792</v>
      </c>
      <c r="AE43" s="90">
        <v>38</v>
      </c>
    </row>
    <row r="44" spans="1:31" ht="18" customHeight="1">
      <c r="A44" s="62">
        <v>39</v>
      </c>
      <c r="B44" s="41" t="s">
        <v>11</v>
      </c>
      <c r="C44" s="62">
        <v>80</v>
      </c>
      <c r="D44" s="90">
        <v>27</v>
      </c>
      <c r="E44" s="62">
        <v>34</v>
      </c>
      <c r="F44" s="90">
        <v>36</v>
      </c>
      <c r="G44" s="62">
        <v>33</v>
      </c>
      <c r="H44" s="90">
        <v>31</v>
      </c>
      <c r="I44" s="62">
        <v>35</v>
      </c>
      <c r="J44" s="90">
        <v>4</v>
      </c>
      <c r="K44" s="62">
        <v>100</v>
      </c>
      <c r="L44" s="90">
        <v>27</v>
      </c>
      <c r="M44" s="62">
        <v>25</v>
      </c>
      <c r="N44" s="90">
        <v>14</v>
      </c>
      <c r="O44" s="62">
        <v>18</v>
      </c>
      <c r="P44" s="90">
        <v>27</v>
      </c>
      <c r="Q44" s="62">
        <v>33</v>
      </c>
      <c r="R44" s="90">
        <v>35</v>
      </c>
      <c r="S44" s="62">
        <v>0</v>
      </c>
      <c r="T44" s="90">
        <v>41</v>
      </c>
      <c r="U44" s="62">
        <v>91</v>
      </c>
      <c r="V44" s="90">
        <v>33</v>
      </c>
      <c r="W44" s="62">
        <v>0</v>
      </c>
      <c r="X44" s="90">
        <v>40</v>
      </c>
      <c r="Y44" s="62">
        <v>45</v>
      </c>
      <c r="Z44" s="90">
        <v>8</v>
      </c>
      <c r="AA44" s="62">
        <v>494</v>
      </c>
      <c r="AB44" s="57">
        <v>32.93333333333333</v>
      </c>
      <c r="AC44" s="57">
        <v>26.728571428571428</v>
      </c>
      <c r="AD44" s="57">
        <v>29.830952380952379</v>
      </c>
      <c r="AE44" s="90">
        <v>39</v>
      </c>
    </row>
    <row r="45" spans="1:31" ht="18" customHeight="1">
      <c r="A45" s="62">
        <v>40</v>
      </c>
      <c r="B45" s="41" t="s">
        <v>35</v>
      </c>
      <c r="C45" s="62">
        <v>80</v>
      </c>
      <c r="D45" s="90">
        <v>27</v>
      </c>
      <c r="E45" s="62">
        <v>0</v>
      </c>
      <c r="F45" s="90">
        <v>43</v>
      </c>
      <c r="G45" s="62">
        <v>33</v>
      </c>
      <c r="H45" s="90">
        <v>31</v>
      </c>
      <c r="I45" s="62">
        <v>34</v>
      </c>
      <c r="J45" s="90">
        <v>19</v>
      </c>
      <c r="K45" s="62">
        <v>120</v>
      </c>
      <c r="L45" s="90">
        <v>20</v>
      </c>
      <c r="M45" s="62">
        <v>10</v>
      </c>
      <c r="N45" s="90">
        <v>39</v>
      </c>
      <c r="O45" s="62">
        <v>18</v>
      </c>
      <c r="P45" s="90">
        <v>27</v>
      </c>
      <c r="Q45" s="62">
        <v>30</v>
      </c>
      <c r="R45" s="90">
        <v>46</v>
      </c>
      <c r="S45" s="62">
        <v>0</v>
      </c>
      <c r="T45" s="90">
        <v>41</v>
      </c>
      <c r="U45" s="62">
        <v>84</v>
      </c>
      <c r="V45" s="90">
        <v>43</v>
      </c>
      <c r="W45" s="62">
        <v>0</v>
      </c>
      <c r="X45" s="90">
        <v>40</v>
      </c>
      <c r="Y45" s="62">
        <v>45</v>
      </c>
      <c r="Z45" s="90">
        <v>8</v>
      </c>
      <c r="AA45" s="62">
        <v>454</v>
      </c>
      <c r="AB45" s="57">
        <v>30.266666666666666</v>
      </c>
      <c r="AC45" s="57">
        <v>28.93809523809524</v>
      </c>
      <c r="AD45" s="57">
        <v>29.602380952380955</v>
      </c>
      <c r="AE45" s="90">
        <v>40</v>
      </c>
    </row>
    <row r="46" spans="1:31" ht="18" customHeight="1">
      <c r="A46" s="62">
        <v>41</v>
      </c>
      <c r="B46" s="41" t="s">
        <v>31</v>
      </c>
      <c r="C46" s="62">
        <v>60</v>
      </c>
      <c r="D46" s="90">
        <v>39</v>
      </c>
      <c r="E46" s="62">
        <v>0</v>
      </c>
      <c r="F46" s="90">
        <v>43</v>
      </c>
      <c r="G46" s="62">
        <v>35</v>
      </c>
      <c r="H46" s="90">
        <v>9</v>
      </c>
      <c r="I46" s="62">
        <v>0</v>
      </c>
      <c r="J46" s="90">
        <v>45</v>
      </c>
      <c r="K46" s="62">
        <v>100</v>
      </c>
      <c r="L46" s="90">
        <v>27</v>
      </c>
      <c r="M46" s="62">
        <v>50</v>
      </c>
      <c r="N46" s="90">
        <v>1</v>
      </c>
      <c r="O46" s="62">
        <v>18</v>
      </c>
      <c r="P46" s="90">
        <v>27</v>
      </c>
      <c r="Q46" s="62">
        <v>31</v>
      </c>
      <c r="R46" s="90">
        <v>40</v>
      </c>
      <c r="S46" s="62">
        <v>0</v>
      </c>
      <c r="T46" s="90">
        <v>41</v>
      </c>
      <c r="U46" s="62">
        <v>91</v>
      </c>
      <c r="V46" s="90">
        <v>33</v>
      </c>
      <c r="W46" s="62">
        <v>0</v>
      </c>
      <c r="X46" s="90">
        <v>40</v>
      </c>
      <c r="Y46" s="62">
        <v>45</v>
      </c>
      <c r="Z46" s="90">
        <v>8</v>
      </c>
      <c r="AA46" s="62">
        <v>430</v>
      </c>
      <c r="AB46" s="57">
        <v>28.666666666666668</v>
      </c>
      <c r="AC46" s="57">
        <v>27.365079365079367</v>
      </c>
      <c r="AD46" s="57">
        <v>28.015873015873019</v>
      </c>
      <c r="AE46" s="90">
        <v>41</v>
      </c>
    </row>
    <row r="47" spans="1:31" ht="18" customHeight="1">
      <c r="A47" s="62">
        <v>42</v>
      </c>
      <c r="B47" s="41" t="s">
        <v>13</v>
      </c>
      <c r="C47" s="62">
        <v>20</v>
      </c>
      <c r="D47" s="90">
        <v>44</v>
      </c>
      <c r="E47" s="62">
        <v>36</v>
      </c>
      <c r="F47" s="90">
        <v>7</v>
      </c>
      <c r="G47" s="62">
        <v>35</v>
      </c>
      <c r="H47" s="90">
        <v>9</v>
      </c>
      <c r="I47" s="62">
        <v>33</v>
      </c>
      <c r="J47" s="90">
        <v>36</v>
      </c>
      <c r="K47" s="62">
        <v>120</v>
      </c>
      <c r="L47" s="90">
        <v>20</v>
      </c>
      <c r="M47" s="62">
        <v>20</v>
      </c>
      <c r="N47" s="90">
        <v>24</v>
      </c>
      <c r="O47" s="62">
        <v>35</v>
      </c>
      <c r="P47" s="90">
        <v>17</v>
      </c>
      <c r="Q47" s="62">
        <v>35</v>
      </c>
      <c r="R47" s="90">
        <v>21</v>
      </c>
      <c r="S47" s="62">
        <v>0</v>
      </c>
      <c r="T47" s="90">
        <v>41</v>
      </c>
      <c r="U47" s="62">
        <v>0</v>
      </c>
      <c r="V47" s="90">
        <v>45</v>
      </c>
      <c r="W47" s="62">
        <v>0</v>
      </c>
      <c r="X47" s="90">
        <v>40</v>
      </c>
      <c r="Y47" s="62">
        <v>45</v>
      </c>
      <c r="Z47" s="90">
        <v>8</v>
      </c>
      <c r="AA47" s="62">
        <v>379</v>
      </c>
      <c r="AB47" s="57">
        <v>25.266666666666666</v>
      </c>
      <c r="AC47" s="57">
        <v>30.692063492063493</v>
      </c>
      <c r="AD47" s="57">
        <v>27.979365079365081</v>
      </c>
      <c r="AE47" s="90">
        <v>42</v>
      </c>
    </row>
    <row r="48" spans="1:31" ht="18" customHeight="1">
      <c r="A48" s="62">
        <v>43</v>
      </c>
      <c r="B48" s="41" t="s">
        <v>32</v>
      </c>
      <c r="C48" s="62">
        <v>80</v>
      </c>
      <c r="D48" s="90">
        <v>27</v>
      </c>
      <c r="E48" s="62">
        <v>34</v>
      </c>
      <c r="F48" s="90">
        <v>36</v>
      </c>
      <c r="G48" s="62">
        <v>36</v>
      </c>
      <c r="H48" s="90">
        <v>1</v>
      </c>
      <c r="I48" s="62">
        <v>35</v>
      </c>
      <c r="J48" s="90">
        <v>4</v>
      </c>
      <c r="K48" s="62">
        <v>75</v>
      </c>
      <c r="L48" s="90">
        <v>38</v>
      </c>
      <c r="M48" s="62">
        <v>50</v>
      </c>
      <c r="N48" s="90">
        <v>1</v>
      </c>
      <c r="O48" s="62">
        <v>18</v>
      </c>
      <c r="P48" s="90">
        <v>27</v>
      </c>
      <c r="Q48" s="62">
        <v>31</v>
      </c>
      <c r="R48" s="90">
        <v>40</v>
      </c>
      <c r="S48" s="62">
        <v>0</v>
      </c>
      <c r="T48" s="90">
        <v>41</v>
      </c>
      <c r="U48" s="62">
        <v>94</v>
      </c>
      <c r="V48" s="90">
        <v>15</v>
      </c>
      <c r="W48" s="62">
        <v>0</v>
      </c>
      <c r="X48" s="90">
        <v>40</v>
      </c>
      <c r="Y48" s="62">
        <v>45</v>
      </c>
      <c r="Z48" s="90">
        <v>8</v>
      </c>
      <c r="AA48" s="62">
        <v>498</v>
      </c>
      <c r="AB48" s="57">
        <v>33.200000000000003</v>
      </c>
      <c r="AC48" s="57">
        <v>19.761904761904759</v>
      </c>
      <c r="AD48" s="57">
        <v>26.480952380952381</v>
      </c>
      <c r="AE48" s="90">
        <v>43</v>
      </c>
    </row>
    <row r="49" spans="1:31" ht="18" customHeight="1">
      <c r="A49" s="62">
        <v>44</v>
      </c>
      <c r="B49" s="41" t="s">
        <v>17</v>
      </c>
      <c r="C49" s="62">
        <v>20</v>
      </c>
      <c r="D49" s="90">
        <v>44</v>
      </c>
      <c r="E49" s="62">
        <v>0</v>
      </c>
      <c r="F49" s="90">
        <v>43</v>
      </c>
      <c r="G49" s="62">
        <v>33</v>
      </c>
      <c r="H49" s="90">
        <v>31</v>
      </c>
      <c r="I49" s="62">
        <v>34</v>
      </c>
      <c r="J49" s="90">
        <v>19</v>
      </c>
      <c r="K49" s="62">
        <v>100</v>
      </c>
      <c r="L49" s="90">
        <v>27</v>
      </c>
      <c r="M49" s="62">
        <v>50</v>
      </c>
      <c r="N49" s="90">
        <v>1</v>
      </c>
      <c r="O49" s="62">
        <v>36</v>
      </c>
      <c r="P49" s="90">
        <v>1</v>
      </c>
      <c r="Q49" s="62">
        <v>36</v>
      </c>
      <c r="R49" s="90">
        <v>1</v>
      </c>
      <c r="S49" s="62">
        <v>24</v>
      </c>
      <c r="T49" s="90">
        <v>16</v>
      </c>
      <c r="U49" s="62">
        <v>0</v>
      </c>
      <c r="V49" s="90">
        <v>45</v>
      </c>
      <c r="W49" s="62">
        <v>35</v>
      </c>
      <c r="X49" s="90">
        <v>17</v>
      </c>
      <c r="Y49" s="62">
        <v>45</v>
      </c>
      <c r="Z49" s="90">
        <v>8</v>
      </c>
      <c r="AA49" s="62">
        <v>413</v>
      </c>
      <c r="AB49" s="57">
        <v>27.533333333333335</v>
      </c>
      <c r="AC49" s="57">
        <v>23.661904761904761</v>
      </c>
      <c r="AD49" s="57">
        <v>25.597619047619048</v>
      </c>
      <c r="AE49" s="90">
        <v>44</v>
      </c>
    </row>
    <row r="50" spans="1:31" ht="18" customHeight="1">
      <c r="A50" s="62">
        <v>45</v>
      </c>
      <c r="B50" s="41" t="s">
        <v>33</v>
      </c>
      <c r="C50" s="62">
        <v>20</v>
      </c>
      <c r="D50" s="90">
        <v>44</v>
      </c>
      <c r="E50" s="62">
        <v>36</v>
      </c>
      <c r="F50" s="90">
        <v>7</v>
      </c>
      <c r="G50" s="62">
        <v>36</v>
      </c>
      <c r="H50" s="90">
        <v>1</v>
      </c>
      <c r="I50" s="62">
        <v>35</v>
      </c>
      <c r="J50" s="90">
        <v>4</v>
      </c>
      <c r="K50" s="62">
        <v>75</v>
      </c>
      <c r="L50" s="90">
        <v>38</v>
      </c>
      <c r="M50" s="62">
        <v>10</v>
      </c>
      <c r="N50" s="90">
        <v>39</v>
      </c>
      <c r="O50" s="62">
        <v>18</v>
      </c>
      <c r="P50" s="90">
        <v>27</v>
      </c>
      <c r="Q50" s="62">
        <v>32</v>
      </c>
      <c r="R50" s="90">
        <v>37</v>
      </c>
      <c r="S50" s="62">
        <v>24</v>
      </c>
      <c r="T50" s="90">
        <v>16</v>
      </c>
      <c r="U50" s="62">
        <v>91</v>
      </c>
      <c r="V50" s="90">
        <v>33</v>
      </c>
      <c r="W50" s="62">
        <v>34</v>
      </c>
      <c r="X50" s="90">
        <v>30</v>
      </c>
      <c r="Y50" s="62">
        <v>46</v>
      </c>
      <c r="Z50" s="90">
        <v>5</v>
      </c>
      <c r="AA50" s="62">
        <v>457</v>
      </c>
      <c r="AB50" s="57">
        <v>30.466666666666665</v>
      </c>
      <c r="AC50" s="57">
        <v>20.712698412698412</v>
      </c>
      <c r="AD50" s="57">
        <v>25.589682539682538</v>
      </c>
      <c r="AE50" s="90">
        <v>45</v>
      </c>
    </row>
    <row r="51" spans="1:31" ht="18" customHeight="1">
      <c r="A51" s="62">
        <v>46</v>
      </c>
      <c r="B51" s="41" t="s">
        <v>8</v>
      </c>
      <c r="C51" s="62">
        <v>80</v>
      </c>
      <c r="D51" s="90">
        <v>27</v>
      </c>
      <c r="E51" s="62">
        <v>0</v>
      </c>
      <c r="F51" s="90">
        <v>43</v>
      </c>
      <c r="G51" s="62">
        <v>33</v>
      </c>
      <c r="H51" s="90">
        <v>31</v>
      </c>
      <c r="I51" s="62">
        <v>33</v>
      </c>
      <c r="J51" s="90">
        <v>36</v>
      </c>
      <c r="K51" s="62">
        <v>75</v>
      </c>
      <c r="L51" s="90">
        <v>38</v>
      </c>
      <c r="M51" s="62">
        <v>10</v>
      </c>
      <c r="N51" s="90">
        <v>39</v>
      </c>
      <c r="O51" s="62">
        <v>17</v>
      </c>
      <c r="P51" s="90">
        <v>37</v>
      </c>
      <c r="Q51" s="62">
        <v>31</v>
      </c>
      <c r="R51" s="90">
        <v>40</v>
      </c>
      <c r="S51" s="62">
        <v>0</v>
      </c>
      <c r="T51" s="90">
        <v>41</v>
      </c>
      <c r="U51" s="62">
        <v>91</v>
      </c>
      <c r="V51" s="90">
        <v>33</v>
      </c>
      <c r="W51" s="62">
        <v>0</v>
      </c>
      <c r="X51" s="90">
        <v>40</v>
      </c>
      <c r="Y51" s="62">
        <v>45</v>
      </c>
      <c r="Z51" s="90">
        <v>8</v>
      </c>
      <c r="AA51" s="62">
        <v>415</v>
      </c>
      <c r="AB51" s="57">
        <v>27.666666666666668</v>
      </c>
      <c r="AC51" s="57">
        <v>18.822222222222223</v>
      </c>
      <c r="AD51" s="57">
        <v>23.244444444444447</v>
      </c>
      <c r="AE51" s="90">
        <v>46</v>
      </c>
    </row>
    <row r="52" spans="1:31" ht="18" customHeight="1">
      <c r="A52" s="62">
        <v>47</v>
      </c>
      <c r="B52" s="41" t="s">
        <v>44</v>
      </c>
      <c r="C52" s="62">
        <v>0</v>
      </c>
      <c r="D52" s="90">
        <v>47</v>
      </c>
      <c r="E52" s="62">
        <v>0</v>
      </c>
      <c r="F52" s="90">
        <v>43</v>
      </c>
      <c r="G52" s="62">
        <v>33</v>
      </c>
      <c r="H52" s="90">
        <v>31</v>
      </c>
      <c r="I52" s="62">
        <v>0</v>
      </c>
      <c r="J52" s="90">
        <v>45</v>
      </c>
      <c r="K52" s="62">
        <v>75</v>
      </c>
      <c r="L52" s="90">
        <v>38</v>
      </c>
      <c r="M52" s="62">
        <v>10</v>
      </c>
      <c r="N52" s="90">
        <v>39</v>
      </c>
      <c r="O52" s="62">
        <v>17</v>
      </c>
      <c r="P52" s="90">
        <v>37</v>
      </c>
      <c r="Q52" s="62">
        <v>31</v>
      </c>
      <c r="R52" s="90">
        <v>40</v>
      </c>
      <c r="S52" s="62">
        <v>0</v>
      </c>
      <c r="T52" s="90">
        <v>41</v>
      </c>
      <c r="U52" s="62">
        <v>0</v>
      </c>
      <c r="V52" s="90">
        <v>45</v>
      </c>
      <c r="W52" s="62">
        <v>0</v>
      </c>
      <c r="X52" s="90">
        <v>40</v>
      </c>
      <c r="Y52" s="62">
        <v>45</v>
      </c>
      <c r="Z52" s="90">
        <v>8</v>
      </c>
      <c r="AA52" s="62">
        <v>211</v>
      </c>
      <c r="AB52" s="57">
        <v>14.066666666666666</v>
      </c>
      <c r="AC52" s="57">
        <v>11.02222222222222</v>
      </c>
      <c r="AD52" s="57">
        <v>12.544444444444444</v>
      </c>
      <c r="AE52" s="90">
        <v>47</v>
      </c>
    </row>
    <row r="53" spans="1:31" ht="18" customHeight="1">
      <c r="A53" s="62">
        <v>48</v>
      </c>
      <c r="B53" s="41" t="s">
        <v>39</v>
      </c>
      <c r="C53" s="62" t="s">
        <v>84</v>
      </c>
      <c r="D53" s="90">
        <v>47</v>
      </c>
      <c r="E53" s="62" t="s">
        <v>84</v>
      </c>
      <c r="F53" s="90">
        <v>43</v>
      </c>
      <c r="G53" s="62" t="s">
        <v>84</v>
      </c>
      <c r="H53" s="90">
        <v>47</v>
      </c>
      <c r="I53" s="62" t="s">
        <v>84</v>
      </c>
      <c r="J53" s="90">
        <v>45</v>
      </c>
      <c r="K53" s="62" t="s">
        <v>84</v>
      </c>
      <c r="L53" s="90">
        <v>48</v>
      </c>
      <c r="M53" s="62" t="s">
        <v>84</v>
      </c>
      <c r="N53" s="90">
        <v>47</v>
      </c>
      <c r="O53" s="62" t="s">
        <v>84</v>
      </c>
      <c r="P53" s="90">
        <v>48</v>
      </c>
      <c r="Q53" s="62" t="s">
        <v>84</v>
      </c>
      <c r="R53" s="90">
        <v>48</v>
      </c>
      <c r="S53" s="62" t="s">
        <v>84</v>
      </c>
      <c r="T53" s="90">
        <v>41</v>
      </c>
      <c r="U53" s="62" t="s">
        <v>84</v>
      </c>
      <c r="V53" s="90">
        <v>45</v>
      </c>
      <c r="W53" s="62" t="s">
        <v>84</v>
      </c>
      <c r="X53" s="90">
        <v>40</v>
      </c>
      <c r="Y53" s="62" t="s">
        <v>84</v>
      </c>
      <c r="Z53" s="90">
        <v>48</v>
      </c>
      <c r="AA53" s="62" t="s">
        <v>84</v>
      </c>
      <c r="AB53" s="57" t="s">
        <v>84</v>
      </c>
      <c r="AC53" s="100" t="s">
        <v>83</v>
      </c>
      <c r="AD53" s="101"/>
      <c r="AE53" s="102"/>
    </row>
    <row r="54" spans="1:31" ht="18" customHeight="1">
      <c r="A54" s="62">
        <v>49</v>
      </c>
      <c r="B54" s="41" t="s">
        <v>50</v>
      </c>
      <c r="C54" s="62" t="s">
        <v>84</v>
      </c>
      <c r="D54" s="90">
        <v>47</v>
      </c>
      <c r="E54" s="62" t="s">
        <v>84</v>
      </c>
      <c r="F54" s="90">
        <v>43</v>
      </c>
      <c r="G54" s="62" t="s">
        <v>84</v>
      </c>
      <c r="H54" s="90">
        <v>47</v>
      </c>
      <c r="I54" s="62" t="s">
        <v>84</v>
      </c>
      <c r="J54" s="90">
        <v>45</v>
      </c>
      <c r="K54" s="62" t="s">
        <v>84</v>
      </c>
      <c r="L54" s="90">
        <v>48</v>
      </c>
      <c r="M54" s="62" t="s">
        <v>84</v>
      </c>
      <c r="N54" s="90">
        <v>47</v>
      </c>
      <c r="O54" s="62" t="s">
        <v>84</v>
      </c>
      <c r="P54" s="90">
        <v>48</v>
      </c>
      <c r="Q54" s="62" t="s">
        <v>84</v>
      </c>
      <c r="R54" s="90">
        <v>48</v>
      </c>
      <c r="S54" s="62" t="s">
        <v>84</v>
      </c>
      <c r="T54" s="90">
        <v>41</v>
      </c>
      <c r="U54" s="62" t="s">
        <v>84</v>
      </c>
      <c r="V54" s="90">
        <v>45</v>
      </c>
      <c r="W54" s="62" t="s">
        <v>84</v>
      </c>
      <c r="X54" s="90">
        <v>40</v>
      </c>
      <c r="Y54" s="62" t="s">
        <v>84</v>
      </c>
      <c r="Z54" s="90">
        <v>48</v>
      </c>
      <c r="AA54" s="62" t="s">
        <v>84</v>
      </c>
      <c r="AB54" s="57" t="s">
        <v>84</v>
      </c>
      <c r="AC54" s="100" t="s">
        <v>83</v>
      </c>
      <c r="AD54" s="101"/>
      <c r="AE54" s="102"/>
    </row>
    <row r="55" spans="1:31" ht="18" customHeight="1">
      <c r="A55" s="62">
        <v>50</v>
      </c>
      <c r="B55" s="41" t="s">
        <v>51</v>
      </c>
      <c r="C55" s="62" t="s">
        <v>84</v>
      </c>
      <c r="D55" s="90">
        <v>47</v>
      </c>
      <c r="E55" s="62" t="s">
        <v>84</v>
      </c>
      <c r="F55" s="90">
        <v>43</v>
      </c>
      <c r="G55" s="62" t="s">
        <v>84</v>
      </c>
      <c r="H55" s="90">
        <v>47</v>
      </c>
      <c r="I55" s="62" t="s">
        <v>84</v>
      </c>
      <c r="J55" s="90">
        <v>45</v>
      </c>
      <c r="K55" s="62" t="s">
        <v>84</v>
      </c>
      <c r="L55" s="90">
        <v>48</v>
      </c>
      <c r="M55" s="62" t="s">
        <v>84</v>
      </c>
      <c r="N55" s="90">
        <v>47</v>
      </c>
      <c r="O55" s="62" t="s">
        <v>84</v>
      </c>
      <c r="P55" s="90">
        <v>48</v>
      </c>
      <c r="Q55" s="62" t="s">
        <v>84</v>
      </c>
      <c r="R55" s="90">
        <v>48</v>
      </c>
      <c r="S55" s="62" t="s">
        <v>84</v>
      </c>
      <c r="T55" s="90">
        <v>41</v>
      </c>
      <c r="U55" s="62" t="s">
        <v>84</v>
      </c>
      <c r="V55" s="90">
        <v>45</v>
      </c>
      <c r="W55" s="62" t="s">
        <v>84</v>
      </c>
      <c r="X55" s="90">
        <v>40</v>
      </c>
      <c r="Y55" s="62" t="s">
        <v>84</v>
      </c>
      <c r="Z55" s="90">
        <v>48</v>
      </c>
      <c r="AA55" s="62" t="s">
        <v>84</v>
      </c>
      <c r="AB55" s="57" t="s">
        <v>84</v>
      </c>
      <c r="AC55" s="100" t="s">
        <v>83</v>
      </c>
      <c r="AD55" s="101"/>
      <c r="AE55" s="102"/>
    </row>
    <row r="56" spans="1:31" ht="22.9" customHeight="1">
      <c r="A56" s="10" t="s">
        <v>69</v>
      </c>
      <c r="B56" s="10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82" t="s">
        <v>78</v>
      </c>
      <c r="Y56" s="28"/>
      <c r="Z56" s="59"/>
      <c r="AA56" s="59"/>
      <c r="AB56" s="59"/>
      <c r="AC56" s="59"/>
      <c r="AD56" s="59"/>
      <c r="AE56" s="60"/>
    </row>
    <row r="57" spans="1:31" ht="22.9" customHeight="1">
      <c r="A57" s="11" t="s">
        <v>70</v>
      </c>
      <c r="B57" s="26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83" t="s">
        <v>71</v>
      </c>
      <c r="Y57" s="83"/>
      <c r="Z57" s="61"/>
      <c r="AA57" s="61"/>
      <c r="AB57" s="61"/>
      <c r="AC57" s="61"/>
      <c r="AD57" s="61"/>
      <c r="AE57" s="61"/>
    </row>
    <row r="58" spans="1:31" ht="22.9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83"/>
      <c r="Y58" s="84"/>
      <c r="Z58" s="61"/>
      <c r="AA58" s="61"/>
      <c r="AB58" s="61"/>
      <c r="AC58" s="61"/>
      <c r="AD58" s="61"/>
      <c r="AE58" s="61"/>
    </row>
    <row r="59" spans="1:31" ht="22.9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83" t="s">
        <v>76</v>
      </c>
      <c r="Y59" s="83"/>
      <c r="Z59" s="61"/>
      <c r="AA59" s="61"/>
      <c r="AB59" s="61"/>
      <c r="AC59" s="61"/>
      <c r="AD59" s="61"/>
      <c r="AE59" s="61"/>
    </row>
    <row r="60" spans="1:31" ht="22.9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</row>
    <row r="61" spans="1:31" ht="22.9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</row>
    <row r="62" spans="1:31" ht="22.9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</row>
    <row r="63" spans="1:31" ht="22.9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</row>
  </sheetData>
  <sortState xmlns:xlrd2="http://schemas.microsoft.com/office/spreadsheetml/2017/richdata2" ref="A6:AE55">
    <sortCondition ref="A6"/>
  </sortState>
  <mergeCells count="18">
    <mergeCell ref="AC53:AE53"/>
    <mergeCell ref="AC54:AE54"/>
    <mergeCell ref="AC55:AE55"/>
    <mergeCell ref="Y4:Z4"/>
    <mergeCell ref="AE4:AE5"/>
    <mergeCell ref="A4:A5"/>
    <mergeCell ref="B4:B5"/>
    <mergeCell ref="C4:D4"/>
    <mergeCell ref="E4:F4"/>
    <mergeCell ref="G4:H4"/>
    <mergeCell ref="S4:T4"/>
    <mergeCell ref="U4:V4"/>
    <mergeCell ref="W4:X4"/>
    <mergeCell ref="I4:J4"/>
    <mergeCell ref="K4:L4"/>
    <mergeCell ref="M4:N4"/>
    <mergeCell ref="O4:P4"/>
    <mergeCell ref="Q4:R4"/>
  </mergeCells>
  <pageMargins left="0.25" right="0.25" top="0" bottom="0" header="0.3" footer="0.3"/>
  <pageSetup paperSize="9"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124"/>
  <sheetViews>
    <sheetView zoomScale="85" zoomScaleNormal="85" workbookViewId="0">
      <selection activeCell="AI27" sqref="AH27:AI28"/>
    </sheetView>
  </sheetViews>
  <sheetFormatPr defaultRowHeight="14.25"/>
  <cols>
    <col min="1" max="1" width="4.73046875" customWidth="1"/>
    <col min="2" max="2" width="17.73046875" customWidth="1"/>
    <col min="3" max="3" width="6.265625" customWidth="1"/>
    <col min="4" max="4" width="3.1328125" customWidth="1"/>
    <col min="5" max="5" width="4.9296875" customWidth="1"/>
    <col min="6" max="6" width="3.46484375" customWidth="1"/>
    <col min="7" max="7" width="4.9296875" customWidth="1"/>
    <col min="8" max="8" width="3.59765625" customWidth="1"/>
    <col min="9" max="9" width="4.265625" customWidth="1"/>
    <col min="10" max="10" width="3.1328125" customWidth="1"/>
    <col min="11" max="11" width="6.06640625" customWidth="1"/>
    <col min="12" max="12" width="3.1328125" customWidth="1"/>
    <col min="13" max="13" width="5.265625" customWidth="1"/>
    <col min="14" max="14" width="4.19921875" customWidth="1"/>
    <col min="15" max="15" width="4.9296875" customWidth="1"/>
    <col min="16" max="16" width="4.796875" customWidth="1"/>
    <col min="17" max="17" width="4.6640625" customWidth="1"/>
    <col min="18" max="18" width="4.3984375" customWidth="1"/>
    <col min="19" max="19" width="5.796875" customWidth="1"/>
    <col min="20" max="20" width="4.06640625" customWidth="1"/>
    <col min="21" max="21" width="6" customWidth="1"/>
    <col min="22" max="22" width="4.6640625" customWidth="1"/>
    <col min="23" max="23" width="5.265625" customWidth="1"/>
    <col min="24" max="24" width="4.1328125" customWidth="1"/>
    <col min="25" max="25" width="5.19921875" customWidth="1"/>
    <col min="26" max="26" width="4.9296875" customWidth="1"/>
    <col min="27" max="27" width="6.46484375" customWidth="1"/>
    <col min="28" max="28" width="7.53125" customWidth="1"/>
    <col min="29" max="29" width="6.6640625" customWidth="1"/>
    <col min="30" max="30" width="6.3984375" customWidth="1"/>
    <col min="31" max="31" width="5.6640625" customWidth="1"/>
  </cols>
  <sheetData>
    <row r="1" spans="1:31" ht="19.89999999999999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6" t="s">
        <v>0</v>
      </c>
      <c r="P1" s="2"/>
      <c r="Q1" s="1"/>
      <c r="R1" s="1"/>
      <c r="S1" s="1"/>
      <c r="T1" s="1"/>
      <c r="U1" s="1"/>
      <c r="V1" s="1"/>
      <c r="W1" s="1"/>
      <c r="X1" s="1" t="s">
        <v>90</v>
      </c>
      <c r="Y1" s="1"/>
      <c r="Z1" s="1"/>
      <c r="AA1" s="1"/>
      <c r="AB1" s="1"/>
      <c r="AC1" s="1"/>
      <c r="AD1" s="1"/>
      <c r="AE1" s="1"/>
    </row>
    <row r="2" spans="1:31" ht="22.5" customHeight="1">
      <c r="A2" s="1" t="s">
        <v>88</v>
      </c>
      <c r="B2" s="1"/>
      <c r="C2" s="1"/>
      <c r="D2" s="1"/>
      <c r="E2" s="1"/>
      <c r="F2" s="1"/>
      <c r="G2" s="1"/>
      <c r="H2" s="1"/>
      <c r="I2" s="1"/>
      <c r="J2" s="47" t="s">
        <v>89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90</v>
      </c>
      <c r="Y2" s="1"/>
      <c r="Z2" s="1"/>
      <c r="AA2" s="1"/>
      <c r="AB2" s="1"/>
      <c r="AC2" s="1"/>
      <c r="AD2" s="1"/>
      <c r="AE2" s="1"/>
    </row>
    <row r="3" spans="1:31" ht="22.15" customHeight="1">
      <c r="A3" s="1" t="s">
        <v>101</v>
      </c>
      <c r="B3" s="1"/>
      <c r="C3" s="1"/>
      <c r="D3" s="1"/>
      <c r="E3" s="1"/>
      <c r="F3" s="1"/>
      <c r="G3" s="1"/>
      <c r="H3" s="48" t="s">
        <v>102</v>
      </c>
      <c r="I3" s="49"/>
      <c r="J3" s="50"/>
      <c r="K3" s="50"/>
      <c r="L3" s="51"/>
      <c r="M3" s="52"/>
      <c r="N3" s="51"/>
      <c r="O3" s="51"/>
      <c r="P3" s="51"/>
      <c r="Q3" s="1"/>
      <c r="R3" s="1"/>
      <c r="S3" s="1"/>
      <c r="T3" s="1"/>
      <c r="U3" s="1"/>
      <c r="V3" s="53" t="s">
        <v>92</v>
      </c>
      <c r="W3" s="54"/>
      <c r="X3" s="53"/>
      <c r="Y3" s="53"/>
      <c r="Z3" s="53"/>
      <c r="AA3" s="1" t="s">
        <v>3</v>
      </c>
      <c r="AB3" s="1"/>
      <c r="AC3" s="1"/>
      <c r="AD3" s="55"/>
      <c r="AE3" s="55"/>
    </row>
    <row r="4" spans="1:31" ht="21" customHeight="1">
      <c r="A4" s="98" t="s">
        <v>93</v>
      </c>
      <c r="B4" s="98" t="s">
        <v>5</v>
      </c>
      <c r="C4" s="96" t="s">
        <v>54</v>
      </c>
      <c r="D4" s="97"/>
      <c r="E4" s="6" t="s">
        <v>55</v>
      </c>
      <c r="F4" s="6"/>
      <c r="G4" s="96" t="s">
        <v>56</v>
      </c>
      <c r="H4" s="97"/>
      <c r="I4" s="96" t="s">
        <v>57</v>
      </c>
      <c r="J4" s="97"/>
      <c r="K4" s="96" t="s">
        <v>58</v>
      </c>
      <c r="L4" s="97"/>
      <c r="M4" s="96" t="s">
        <v>59</v>
      </c>
      <c r="N4" s="97"/>
      <c r="O4" s="96" t="s">
        <v>60</v>
      </c>
      <c r="P4" s="97"/>
      <c r="Q4" s="96" t="s">
        <v>61</v>
      </c>
      <c r="R4" s="97"/>
      <c r="S4" s="96" t="s">
        <v>94</v>
      </c>
      <c r="T4" s="97"/>
      <c r="U4" s="96" t="s">
        <v>63</v>
      </c>
      <c r="V4" s="97"/>
      <c r="W4" s="96" t="s">
        <v>64</v>
      </c>
      <c r="X4" s="97"/>
      <c r="Y4" s="96" t="s">
        <v>65</v>
      </c>
      <c r="Z4" s="97"/>
      <c r="AA4" s="6" t="s">
        <v>95</v>
      </c>
      <c r="AB4" s="6" t="s">
        <v>96</v>
      </c>
      <c r="AC4" s="6" t="s">
        <v>96</v>
      </c>
      <c r="AD4" s="6" t="s">
        <v>96</v>
      </c>
      <c r="AE4" s="98" t="s">
        <v>68</v>
      </c>
    </row>
    <row r="5" spans="1:31" ht="25.5" customHeight="1">
      <c r="A5" s="99"/>
      <c r="B5" s="99"/>
      <c r="C5" s="6" t="s">
        <v>95</v>
      </c>
      <c r="D5" s="58" t="s">
        <v>97</v>
      </c>
      <c r="E5" s="6" t="s">
        <v>95</v>
      </c>
      <c r="F5" s="58" t="s">
        <v>97</v>
      </c>
      <c r="G5" s="6" t="s">
        <v>95</v>
      </c>
      <c r="H5" s="58" t="s">
        <v>97</v>
      </c>
      <c r="I5" s="6" t="s">
        <v>95</v>
      </c>
      <c r="J5" s="58" t="s">
        <v>97</v>
      </c>
      <c r="K5" s="6" t="s">
        <v>95</v>
      </c>
      <c r="L5" s="58" t="s">
        <v>97</v>
      </c>
      <c r="M5" s="6" t="s">
        <v>95</v>
      </c>
      <c r="N5" s="58" t="s">
        <v>97</v>
      </c>
      <c r="O5" s="6" t="s">
        <v>95</v>
      </c>
      <c r="P5" s="58" t="s">
        <v>97</v>
      </c>
      <c r="Q5" s="6" t="s">
        <v>95</v>
      </c>
      <c r="R5" s="58" t="s">
        <v>97</v>
      </c>
      <c r="S5" s="6" t="s">
        <v>95</v>
      </c>
      <c r="T5" s="58" t="s">
        <v>97</v>
      </c>
      <c r="U5" s="6" t="s">
        <v>95</v>
      </c>
      <c r="V5" s="58" t="s">
        <v>97</v>
      </c>
      <c r="W5" s="6" t="s">
        <v>95</v>
      </c>
      <c r="X5" s="58" t="s">
        <v>97</v>
      </c>
      <c r="Y5" s="6" t="s">
        <v>95</v>
      </c>
      <c r="Z5" s="58" t="s">
        <v>97</v>
      </c>
      <c r="AA5" s="6" t="s">
        <v>98</v>
      </c>
      <c r="AB5" s="6" t="s">
        <v>98</v>
      </c>
      <c r="AC5" s="6" t="s">
        <v>99</v>
      </c>
      <c r="AD5" s="6" t="s">
        <v>100</v>
      </c>
      <c r="AE5" s="99"/>
    </row>
    <row r="6" spans="1:31" ht="20" customHeight="1">
      <c r="A6" s="46">
        <v>1</v>
      </c>
      <c r="B6" s="8" t="s">
        <v>6</v>
      </c>
      <c r="C6" s="22">
        <v>120</v>
      </c>
      <c r="D6" s="58">
        <f>RANK(C6,C$5:$C$69,0)</f>
        <v>2</v>
      </c>
      <c r="E6" s="22">
        <v>36</v>
      </c>
      <c r="F6" s="58">
        <f>RANK(E6,E$5:$E$69,0)</f>
        <v>7</v>
      </c>
      <c r="G6" s="6">
        <v>35</v>
      </c>
      <c r="H6" s="58">
        <f>RANK(G6,$G$5:G$69)</f>
        <v>9</v>
      </c>
      <c r="I6" s="6">
        <v>35</v>
      </c>
      <c r="J6" s="58">
        <f>RANK(I6,$I$5:I$69)</f>
        <v>4</v>
      </c>
      <c r="K6" s="6">
        <v>140</v>
      </c>
      <c r="L6" s="58">
        <f>RANK(K6,$K$5:K$69)</f>
        <v>6</v>
      </c>
      <c r="M6" s="6">
        <v>48</v>
      </c>
      <c r="N6" s="58">
        <f>RANK(M6,$M$5:M$69)</f>
        <v>12</v>
      </c>
      <c r="O6" s="6">
        <v>36</v>
      </c>
      <c r="P6" s="58">
        <f>RANK(O6,$O$5:O$69)</f>
        <v>1</v>
      </c>
      <c r="Q6" s="6">
        <v>36</v>
      </c>
      <c r="R6" s="58">
        <f>RANK(Q6,$Q$5:Q$69)</f>
        <v>1</v>
      </c>
      <c r="S6" s="22">
        <v>25</v>
      </c>
      <c r="T6" s="58">
        <f>RANK(S6,$S$5:S$69)</f>
        <v>1</v>
      </c>
      <c r="U6" s="22">
        <v>95</v>
      </c>
      <c r="V6" s="58">
        <f>RANK(U6,$U$5:U$69)</f>
        <v>6</v>
      </c>
      <c r="W6" s="22">
        <v>34</v>
      </c>
      <c r="X6" s="58">
        <f>RANK(W6,$W$5:W$69)</f>
        <v>30</v>
      </c>
      <c r="Y6" s="22">
        <v>45</v>
      </c>
      <c r="Z6" s="58">
        <f>RANK(Y6,$Y$5:Y$69)</f>
        <v>8</v>
      </c>
      <c r="AA6" s="6">
        <f t="shared" ref="AA6:AA29" si="0">SUM(C6,E6,G6,I6,K6,M6,O6,Q6,S6,U6,W6,Y6)</f>
        <v>685</v>
      </c>
      <c r="AB6" s="57">
        <f>SUM(AA6/15)</f>
        <v>45.666666666666664</v>
      </c>
      <c r="AC6" s="57">
        <v>42.731746031746034</v>
      </c>
      <c r="AD6" s="57">
        <f>SUM(AB6+AC6)/2</f>
        <v>44.199206349206349</v>
      </c>
      <c r="AE6" s="58">
        <f>RANK(AD6,AD$6:$AD$69,0)</f>
        <v>4</v>
      </c>
    </row>
    <row r="7" spans="1:31" ht="20" customHeight="1">
      <c r="A7" s="46">
        <v>2</v>
      </c>
      <c r="B7" s="8" t="s">
        <v>7</v>
      </c>
      <c r="C7" s="22">
        <v>80</v>
      </c>
      <c r="D7" s="58">
        <f>RANK(C7,C$5:$C$69,0)</f>
        <v>27</v>
      </c>
      <c r="E7" s="22">
        <v>36</v>
      </c>
      <c r="F7" s="58">
        <f>RANK(E7,E$5:$E$69,0)</f>
        <v>7</v>
      </c>
      <c r="G7" s="6">
        <v>0</v>
      </c>
      <c r="H7" s="58">
        <f>RANK(G7,$G$5:G$69)</f>
        <v>47</v>
      </c>
      <c r="I7" s="6">
        <v>34</v>
      </c>
      <c r="J7" s="58">
        <f>RANK(I7,$I$5:I$69)</f>
        <v>19</v>
      </c>
      <c r="K7" s="6">
        <v>120</v>
      </c>
      <c r="L7" s="58">
        <f>RANK(K7,$K$5:K$69)</f>
        <v>20</v>
      </c>
      <c r="M7" s="6">
        <v>10</v>
      </c>
      <c r="N7" s="58">
        <f>RANK(M7,$M$5:M$69)</f>
        <v>39</v>
      </c>
      <c r="O7" s="6">
        <v>8</v>
      </c>
      <c r="P7" s="58">
        <f>RANK(O7,$O$5:O$69)</f>
        <v>43</v>
      </c>
      <c r="Q7" s="6">
        <v>36</v>
      </c>
      <c r="R7" s="58">
        <f>RANK(Q7,$Q$5:Q$69)</f>
        <v>1</v>
      </c>
      <c r="S7" s="22">
        <v>15</v>
      </c>
      <c r="T7" s="58">
        <f>RANK(S7,$S$5:S$69)</f>
        <v>32</v>
      </c>
      <c r="U7" s="22">
        <v>94</v>
      </c>
      <c r="V7" s="58">
        <f>RANK(U7,$U$5:U$69)</f>
        <v>15</v>
      </c>
      <c r="W7" s="22">
        <v>37</v>
      </c>
      <c r="X7" s="58">
        <f>RANK(W7,$W$5:W$69)</f>
        <v>1</v>
      </c>
      <c r="Y7" s="22">
        <v>45</v>
      </c>
      <c r="Z7" s="58">
        <f>RANK(Y7,$Y$5:Y$69)</f>
        <v>8</v>
      </c>
      <c r="AA7" s="6">
        <f t="shared" si="0"/>
        <v>515</v>
      </c>
      <c r="AB7" s="57">
        <f t="shared" ref="AB7:AB55" si="1">SUM(AA7/15)</f>
        <v>34.333333333333336</v>
      </c>
      <c r="AC7" s="57">
        <v>36.495238095238101</v>
      </c>
      <c r="AD7" s="57">
        <f t="shared" ref="AD7:AD29" si="2">SUM(AB7+AC7)/2</f>
        <v>35.414285714285718</v>
      </c>
      <c r="AE7" s="58">
        <f>RANK(AD7,AD$6:$AD$69,0)</f>
        <v>22</v>
      </c>
    </row>
    <row r="8" spans="1:31" ht="20" customHeight="1">
      <c r="A8" s="46">
        <v>3</v>
      </c>
      <c r="B8" s="8" t="s">
        <v>8</v>
      </c>
      <c r="C8" s="22">
        <v>80</v>
      </c>
      <c r="D8" s="58">
        <f>RANK(C8,C$5:$C$69,0)</f>
        <v>27</v>
      </c>
      <c r="E8" s="22">
        <v>0</v>
      </c>
      <c r="F8" s="58">
        <f>RANK(E8,E$5:$E$69,0)</f>
        <v>43</v>
      </c>
      <c r="G8" s="6">
        <v>33</v>
      </c>
      <c r="H8" s="58">
        <f>RANK(G8,$G$5:G$69)</f>
        <v>31</v>
      </c>
      <c r="I8" s="6">
        <v>33</v>
      </c>
      <c r="J8" s="58">
        <f>RANK(I8,$I$5:I$69)</f>
        <v>36</v>
      </c>
      <c r="K8" s="6">
        <v>75</v>
      </c>
      <c r="L8" s="58">
        <f>RANK(K8,$K$5:K$69)</f>
        <v>38</v>
      </c>
      <c r="M8" s="6">
        <v>10</v>
      </c>
      <c r="N8" s="58">
        <f>RANK(M8,$M$5:M$69)</f>
        <v>39</v>
      </c>
      <c r="O8" s="6">
        <v>17</v>
      </c>
      <c r="P8" s="58">
        <f>RANK(O8,$O$5:O$69)</f>
        <v>37</v>
      </c>
      <c r="Q8" s="6">
        <v>31</v>
      </c>
      <c r="R8" s="58">
        <f>RANK(Q8,$Q$5:Q$69)</f>
        <v>40</v>
      </c>
      <c r="S8" s="22">
        <v>0</v>
      </c>
      <c r="T8" s="58">
        <f>RANK(S8,$S$5:S$69)</f>
        <v>41</v>
      </c>
      <c r="U8" s="22">
        <v>91</v>
      </c>
      <c r="V8" s="58">
        <f>RANK(U8,$U$5:U$69)</f>
        <v>33</v>
      </c>
      <c r="W8" s="22">
        <v>0</v>
      </c>
      <c r="X8" s="58">
        <f>RANK(W8,$W$5:W$69)</f>
        <v>40</v>
      </c>
      <c r="Y8" s="22">
        <v>45</v>
      </c>
      <c r="Z8" s="58">
        <f>RANK(Y8,$Y$5:Y$69)</f>
        <v>8</v>
      </c>
      <c r="AA8" s="6">
        <f t="shared" si="0"/>
        <v>415</v>
      </c>
      <c r="AB8" s="57">
        <f t="shared" si="1"/>
        <v>27.666666666666668</v>
      </c>
      <c r="AC8" s="57">
        <v>18.822222222222223</v>
      </c>
      <c r="AD8" s="57">
        <f t="shared" si="2"/>
        <v>23.244444444444447</v>
      </c>
      <c r="AE8" s="58">
        <f>RANK(AD8,AD$6:$AD$69,0)</f>
        <v>46</v>
      </c>
    </row>
    <row r="9" spans="1:31" ht="20" customHeight="1">
      <c r="A9" s="46">
        <v>4</v>
      </c>
      <c r="B9" s="8" t="s">
        <v>9</v>
      </c>
      <c r="C9" s="22">
        <v>95</v>
      </c>
      <c r="D9" s="58">
        <f>RANK(C9,C$5:$C$69,0)</f>
        <v>20</v>
      </c>
      <c r="E9" s="22">
        <v>36</v>
      </c>
      <c r="F9" s="58">
        <f>RANK(E9,E$5:$E$69,0)</f>
        <v>7</v>
      </c>
      <c r="G9" s="6">
        <v>35</v>
      </c>
      <c r="H9" s="58">
        <f>RANK(G9,$G$5:G$69)</f>
        <v>9</v>
      </c>
      <c r="I9" s="6">
        <v>34</v>
      </c>
      <c r="J9" s="58">
        <f>RANK(I9,$I$5:I$69)</f>
        <v>19</v>
      </c>
      <c r="K9" s="6">
        <v>75</v>
      </c>
      <c r="L9" s="58">
        <f>RANK(K9,$K$5:K$69)</f>
        <v>38</v>
      </c>
      <c r="M9" s="6">
        <v>15</v>
      </c>
      <c r="N9" s="58">
        <f>RANK(M9,$M$5:M$69)</f>
        <v>26</v>
      </c>
      <c r="O9" s="6">
        <v>20</v>
      </c>
      <c r="P9" s="58">
        <f>RANK(O9,$O$5:O$69)</f>
        <v>20</v>
      </c>
      <c r="Q9" s="6">
        <v>36</v>
      </c>
      <c r="R9" s="58">
        <f>RANK(Q9,$Q$5:Q$69)</f>
        <v>1</v>
      </c>
      <c r="S9" s="22">
        <v>24</v>
      </c>
      <c r="T9" s="58">
        <f>RANK(S9,$S$5:S$69)</f>
        <v>16</v>
      </c>
      <c r="U9" s="22">
        <v>94</v>
      </c>
      <c r="V9" s="58">
        <f>RANK(U9,$U$5:U$69)</f>
        <v>15</v>
      </c>
      <c r="W9" s="22">
        <v>36</v>
      </c>
      <c r="X9" s="58">
        <f>RANK(W9,$W$5:W$69)</f>
        <v>12</v>
      </c>
      <c r="Y9" s="22">
        <v>45</v>
      </c>
      <c r="Z9" s="58">
        <f>RANK(Y9,$Y$5:Y$69)</f>
        <v>8</v>
      </c>
      <c r="AA9" s="6">
        <f t="shared" si="0"/>
        <v>545</v>
      </c>
      <c r="AB9" s="57">
        <f t="shared" si="1"/>
        <v>36.333333333333336</v>
      </c>
      <c r="AC9" s="57">
        <v>29.687301587301587</v>
      </c>
      <c r="AD9" s="57">
        <f t="shared" si="2"/>
        <v>33.010317460317459</v>
      </c>
      <c r="AE9" s="58">
        <f>RANK(AD9,AD$6:$AD$69,0)</f>
        <v>29</v>
      </c>
    </row>
    <row r="10" spans="1:31" ht="20" customHeight="1">
      <c r="A10" s="46">
        <v>5</v>
      </c>
      <c r="B10" s="8" t="s">
        <v>73</v>
      </c>
      <c r="C10" s="22">
        <v>30</v>
      </c>
      <c r="D10" s="58">
        <f>RANK(C10,C$5:$C$69,0)</f>
        <v>43</v>
      </c>
      <c r="E10" s="22">
        <v>36</v>
      </c>
      <c r="F10" s="58">
        <f>RANK(E10,E$5:$E$69,0)</f>
        <v>7</v>
      </c>
      <c r="G10" s="6">
        <v>33</v>
      </c>
      <c r="H10" s="58">
        <f>RANK(G10,$G$5:G$69)</f>
        <v>31</v>
      </c>
      <c r="I10" s="6">
        <v>36</v>
      </c>
      <c r="J10" s="58">
        <f>RANK(I10,$I$5:I$69)</f>
        <v>2</v>
      </c>
      <c r="K10" s="6">
        <v>100</v>
      </c>
      <c r="L10" s="58">
        <f>RANK(K10,$K$5:K$69)</f>
        <v>27</v>
      </c>
      <c r="M10" s="6">
        <v>25</v>
      </c>
      <c r="N10" s="58">
        <f>RANK(M10,$M$5:M$69)</f>
        <v>14</v>
      </c>
      <c r="O10" s="6">
        <v>20</v>
      </c>
      <c r="P10" s="58">
        <f>RANK(O10,$O$5:O$69)</f>
        <v>20</v>
      </c>
      <c r="Q10" s="6">
        <v>31</v>
      </c>
      <c r="R10" s="58">
        <f>RANK(Q10,$Q$5:Q$69)</f>
        <v>40</v>
      </c>
      <c r="S10" s="22">
        <v>23</v>
      </c>
      <c r="T10" s="58">
        <f>RANK(S10,$S$5:S$69)</f>
        <v>29</v>
      </c>
      <c r="U10" s="22">
        <v>93</v>
      </c>
      <c r="V10" s="58">
        <f>RANK(U10,$U$5:U$69)</f>
        <v>23</v>
      </c>
      <c r="W10" s="22">
        <v>34</v>
      </c>
      <c r="X10" s="58">
        <f>RANK(W10,$W$5:W$69)</f>
        <v>30</v>
      </c>
      <c r="Y10" s="22">
        <v>46</v>
      </c>
      <c r="Z10" s="58">
        <f>RANK(Y10,$Y$5:Y$69)</f>
        <v>5</v>
      </c>
      <c r="AA10" s="6">
        <f t="shared" si="0"/>
        <v>507</v>
      </c>
      <c r="AB10" s="57">
        <f t="shared" si="1"/>
        <v>33.799999999999997</v>
      </c>
      <c r="AC10" s="57">
        <v>26.987301587301584</v>
      </c>
      <c r="AD10" s="57">
        <f t="shared" si="2"/>
        <v>30.393650793650792</v>
      </c>
      <c r="AE10" s="58">
        <f>RANK(AD10,AD$6:$AD$69,0)</f>
        <v>38</v>
      </c>
    </row>
    <row r="11" spans="1:31" ht="20" customHeight="1">
      <c r="A11" s="46">
        <v>6</v>
      </c>
      <c r="B11" s="8" t="s">
        <v>10</v>
      </c>
      <c r="C11" s="22">
        <v>115</v>
      </c>
      <c r="D11" s="58">
        <f>RANK(C11,C$5:$C$69,0)</f>
        <v>11</v>
      </c>
      <c r="E11" s="22">
        <v>37</v>
      </c>
      <c r="F11" s="58">
        <f>RANK(E11,E$5:$E$69,0)</f>
        <v>1</v>
      </c>
      <c r="G11" s="6">
        <v>35</v>
      </c>
      <c r="H11" s="58">
        <f>RANK(G11,$G$5:G$69)</f>
        <v>9</v>
      </c>
      <c r="I11" s="6">
        <v>33</v>
      </c>
      <c r="J11" s="58">
        <f>RANK(I11,$I$5:I$69)</f>
        <v>36</v>
      </c>
      <c r="K11" s="6">
        <v>140</v>
      </c>
      <c r="L11" s="58">
        <f>RANK(K11,$K$5:K$69)</f>
        <v>6</v>
      </c>
      <c r="M11" s="6">
        <v>50</v>
      </c>
      <c r="N11" s="58">
        <f>RANK(M11,$M$5:M$69)</f>
        <v>1</v>
      </c>
      <c r="O11" s="6">
        <v>36</v>
      </c>
      <c r="P11" s="58">
        <f>RANK(O11,$O$5:O$69)</f>
        <v>1</v>
      </c>
      <c r="Q11" s="6">
        <v>35</v>
      </c>
      <c r="R11" s="58">
        <f>RANK(Q11,$Q$5:Q$69)</f>
        <v>21</v>
      </c>
      <c r="S11" s="22">
        <v>24</v>
      </c>
      <c r="T11" s="58">
        <f>RANK(S11,$S$5:S$69)</f>
        <v>16</v>
      </c>
      <c r="U11" s="22">
        <v>92</v>
      </c>
      <c r="V11" s="58">
        <f>RANK(U11,$U$5:U$69)</f>
        <v>30</v>
      </c>
      <c r="W11" s="22">
        <v>37</v>
      </c>
      <c r="X11" s="58">
        <f>RANK(W11,$W$5:W$69)</f>
        <v>1</v>
      </c>
      <c r="Y11" s="22">
        <v>45</v>
      </c>
      <c r="Z11" s="58">
        <f>RANK(Y11,$Y$5:Y$69)</f>
        <v>8</v>
      </c>
      <c r="AA11" s="6">
        <f t="shared" si="0"/>
        <v>679</v>
      </c>
      <c r="AB11" s="57">
        <f t="shared" si="1"/>
        <v>45.266666666666666</v>
      </c>
      <c r="AC11" s="57">
        <v>38.152380952380952</v>
      </c>
      <c r="AD11" s="57">
        <f t="shared" si="2"/>
        <v>41.709523809523809</v>
      </c>
      <c r="AE11" s="58">
        <f>RANK(AD11,AD$6:$AD$69,0)</f>
        <v>13</v>
      </c>
    </row>
    <row r="12" spans="1:31" ht="20" customHeight="1">
      <c r="A12" s="46">
        <v>7</v>
      </c>
      <c r="B12" s="8" t="s">
        <v>11</v>
      </c>
      <c r="C12" s="22">
        <v>80</v>
      </c>
      <c r="D12" s="58">
        <f>RANK(C12,C$5:$C$69,0)</f>
        <v>27</v>
      </c>
      <c r="E12" s="22">
        <v>34</v>
      </c>
      <c r="F12" s="58">
        <f>RANK(E12,E$5:$E$69,0)</f>
        <v>36</v>
      </c>
      <c r="G12" s="6">
        <v>33</v>
      </c>
      <c r="H12" s="58">
        <f>RANK(G12,$G$5:G$69)</f>
        <v>31</v>
      </c>
      <c r="I12" s="6">
        <v>35</v>
      </c>
      <c r="J12" s="58">
        <f>RANK(I12,$I$5:I$69)</f>
        <v>4</v>
      </c>
      <c r="K12" s="6">
        <v>100</v>
      </c>
      <c r="L12" s="58">
        <f>RANK(K12,$K$5:K$69)</f>
        <v>27</v>
      </c>
      <c r="M12" s="6">
        <v>25</v>
      </c>
      <c r="N12" s="58">
        <f>RANK(M12,$M$5:M$69)</f>
        <v>14</v>
      </c>
      <c r="O12" s="6">
        <v>18</v>
      </c>
      <c r="P12" s="58">
        <f>RANK(O12,$O$5:O$69)</f>
        <v>27</v>
      </c>
      <c r="Q12" s="6">
        <v>33</v>
      </c>
      <c r="R12" s="58">
        <f>RANK(Q12,$Q$5:Q$69)</f>
        <v>35</v>
      </c>
      <c r="S12" s="22">
        <v>0</v>
      </c>
      <c r="T12" s="58">
        <f>RANK(S12,$S$5:S$69)</f>
        <v>41</v>
      </c>
      <c r="U12" s="22">
        <v>91</v>
      </c>
      <c r="V12" s="58">
        <f>RANK(U12,$U$5:U$69)</f>
        <v>33</v>
      </c>
      <c r="W12" s="22">
        <v>0</v>
      </c>
      <c r="X12" s="58">
        <f>RANK(W12,$W$5:W$69)</f>
        <v>40</v>
      </c>
      <c r="Y12" s="22">
        <v>45</v>
      </c>
      <c r="Z12" s="58">
        <f>RANK(Y12,$Y$5:Y$69)</f>
        <v>8</v>
      </c>
      <c r="AA12" s="6">
        <f t="shared" si="0"/>
        <v>494</v>
      </c>
      <c r="AB12" s="57">
        <f t="shared" si="1"/>
        <v>32.93333333333333</v>
      </c>
      <c r="AC12" s="57">
        <v>26.728571428571428</v>
      </c>
      <c r="AD12" s="57">
        <f t="shared" si="2"/>
        <v>29.830952380952379</v>
      </c>
      <c r="AE12" s="58">
        <f>RANK(AD12,AD$6:$AD$69,0)</f>
        <v>39</v>
      </c>
    </row>
    <row r="13" spans="1:31" ht="20" customHeight="1">
      <c r="A13" s="46">
        <v>8</v>
      </c>
      <c r="B13" s="8" t="s">
        <v>12</v>
      </c>
      <c r="C13" s="22">
        <v>130</v>
      </c>
      <c r="D13" s="58">
        <f>RANK(C13,C$5:$C$69,0)</f>
        <v>1</v>
      </c>
      <c r="E13" s="22">
        <v>37</v>
      </c>
      <c r="F13" s="58">
        <f>RANK(E13,E$5:$E$69,0)</f>
        <v>1</v>
      </c>
      <c r="G13" s="6">
        <v>36</v>
      </c>
      <c r="H13" s="58">
        <f>RANK(G13,$G$5:G$69)</f>
        <v>1</v>
      </c>
      <c r="I13" s="6">
        <v>38</v>
      </c>
      <c r="J13" s="58">
        <f>RANK(I13,$I$5:I$69)</f>
        <v>1</v>
      </c>
      <c r="K13" s="6">
        <v>145</v>
      </c>
      <c r="L13" s="58">
        <f>RANK(K13,$K$5:K$69)</f>
        <v>1</v>
      </c>
      <c r="M13" s="6">
        <v>50</v>
      </c>
      <c r="N13" s="58">
        <f>RANK(M13,$M$5:M$69)</f>
        <v>1</v>
      </c>
      <c r="O13" s="6">
        <v>36</v>
      </c>
      <c r="P13" s="58">
        <f>RANK(O13,$O$5:O$69)</f>
        <v>1</v>
      </c>
      <c r="Q13" s="6">
        <v>36</v>
      </c>
      <c r="R13" s="58">
        <f>RANK(Q13,$Q$5:Q$69)</f>
        <v>1</v>
      </c>
      <c r="S13" s="22">
        <v>25</v>
      </c>
      <c r="T13" s="58">
        <f>RANK(S13,$S$5:S$69)</f>
        <v>1</v>
      </c>
      <c r="U13" s="22">
        <v>95</v>
      </c>
      <c r="V13" s="58">
        <f>RANK(U13,$U$5:U$69)</f>
        <v>6</v>
      </c>
      <c r="W13" s="22">
        <v>37</v>
      </c>
      <c r="X13" s="58">
        <f>RANK(W13,$W$5:W$69)</f>
        <v>1</v>
      </c>
      <c r="Y13" s="22">
        <v>45</v>
      </c>
      <c r="Z13" s="58">
        <f>RANK(Y13,$Y$5:Y$69)</f>
        <v>8</v>
      </c>
      <c r="AA13" s="6">
        <f t="shared" si="0"/>
        <v>710</v>
      </c>
      <c r="AB13" s="57">
        <f t="shared" si="1"/>
        <v>47.333333333333336</v>
      </c>
      <c r="AC13" s="57">
        <v>46.696825396825396</v>
      </c>
      <c r="AD13" s="57">
        <f t="shared" si="2"/>
        <v>47.015079365079366</v>
      </c>
      <c r="AE13" s="58">
        <f>RANK(AD13,AD$6:$AD$69,0)</f>
        <v>1</v>
      </c>
    </row>
    <row r="14" spans="1:31" ht="20" customHeight="1">
      <c r="A14" s="46">
        <v>9</v>
      </c>
      <c r="B14" s="8" t="s">
        <v>13</v>
      </c>
      <c r="C14" s="22">
        <v>20</v>
      </c>
      <c r="D14" s="58">
        <f>RANK(C14,C$5:$C$69,0)</f>
        <v>44</v>
      </c>
      <c r="E14" s="22">
        <v>36</v>
      </c>
      <c r="F14" s="58">
        <f>RANK(E14,E$5:$E$69,0)</f>
        <v>7</v>
      </c>
      <c r="G14" s="6">
        <v>35</v>
      </c>
      <c r="H14" s="58">
        <f>RANK(G14,$G$5:G$69)</f>
        <v>9</v>
      </c>
      <c r="I14" s="6">
        <v>33</v>
      </c>
      <c r="J14" s="58">
        <f>RANK(I14,$I$5:I$69)</f>
        <v>36</v>
      </c>
      <c r="K14" s="6">
        <v>120</v>
      </c>
      <c r="L14" s="58">
        <f>RANK(K14,$K$5:K$69)</f>
        <v>20</v>
      </c>
      <c r="M14" s="6">
        <v>20</v>
      </c>
      <c r="N14" s="58">
        <f>RANK(M14,$M$5:M$69)</f>
        <v>24</v>
      </c>
      <c r="O14" s="6">
        <v>35</v>
      </c>
      <c r="P14" s="58">
        <f>RANK(O14,$O$5:O$69)</f>
        <v>17</v>
      </c>
      <c r="Q14" s="6">
        <v>35</v>
      </c>
      <c r="R14" s="58">
        <f>RANK(Q14,$Q$5:Q$69)</f>
        <v>21</v>
      </c>
      <c r="S14" s="22">
        <v>0</v>
      </c>
      <c r="T14" s="58">
        <f>RANK(S14,$S$5:S$69)</f>
        <v>41</v>
      </c>
      <c r="U14" s="22">
        <v>0</v>
      </c>
      <c r="V14" s="58">
        <f>RANK(U14,$U$5:U$69)</f>
        <v>45</v>
      </c>
      <c r="W14" s="22">
        <v>0</v>
      </c>
      <c r="X14" s="58">
        <f>RANK(W14,$W$5:W$69)</f>
        <v>40</v>
      </c>
      <c r="Y14" s="22">
        <v>45</v>
      </c>
      <c r="Z14" s="58">
        <f>RANK(Y14,$Y$5:Y$69)</f>
        <v>8</v>
      </c>
      <c r="AA14" s="6">
        <f t="shared" si="0"/>
        <v>379</v>
      </c>
      <c r="AB14" s="57">
        <f t="shared" si="1"/>
        <v>25.266666666666666</v>
      </c>
      <c r="AC14" s="57">
        <v>30.692063492063493</v>
      </c>
      <c r="AD14" s="57">
        <f t="shared" si="2"/>
        <v>27.979365079365081</v>
      </c>
      <c r="AE14" s="58">
        <f>RANK(AD14,AD$6:$AD$69,0)</f>
        <v>42</v>
      </c>
    </row>
    <row r="15" spans="1:31" ht="20" customHeight="1">
      <c r="A15" s="46">
        <v>10</v>
      </c>
      <c r="B15" s="8" t="s">
        <v>14</v>
      </c>
      <c r="C15" s="22">
        <v>65</v>
      </c>
      <c r="D15" s="58">
        <f>RANK(C15,C$5:$C$69,0)</f>
        <v>38</v>
      </c>
      <c r="E15" s="22">
        <v>36</v>
      </c>
      <c r="F15" s="58">
        <f>RANK(E15,E$5:$E$69,0)</f>
        <v>7</v>
      </c>
      <c r="G15" s="6">
        <v>35</v>
      </c>
      <c r="H15" s="58">
        <f>RANK(G15,$G$5:G$69)</f>
        <v>9</v>
      </c>
      <c r="I15" s="6">
        <v>0</v>
      </c>
      <c r="J15" s="58">
        <f>RANK(I15,$I$5:I$69)</f>
        <v>45</v>
      </c>
      <c r="K15" s="6">
        <v>130</v>
      </c>
      <c r="L15" s="58">
        <f>RANK(K15,$K$5:K$69)</f>
        <v>11</v>
      </c>
      <c r="M15" s="6">
        <v>50</v>
      </c>
      <c r="N15" s="58">
        <f>RANK(M15,$M$5:M$69)</f>
        <v>1</v>
      </c>
      <c r="O15" s="6">
        <v>35</v>
      </c>
      <c r="P15" s="58">
        <f>RANK(O15,$O$5:O$69)</f>
        <v>17</v>
      </c>
      <c r="Q15" s="6">
        <v>35</v>
      </c>
      <c r="R15" s="58">
        <f>RANK(Q15,$Q$5:Q$69)</f>
        <v>21</v>
      </c>
      <c r="S15" s="22">
        <v>20</v>
      </c>
      <c r="T15" s="58">
        <f>RANK(S15,$S$5:S$69)</f>
        <v>30</v>
      </c>
      <c r="U15" s="22">
        <v>95</v>
      </c>
      <c r="V15" s="58">
        <f>RANK(U15,$U$5:U$69)</f>
        <v>6</v>
      </c>
      <c r="W15" s="22">
        <v>0</v>
      </c>
      <c r="X15" s="58">
        <f>RANK(W15,$W$5:W$69)</f>
        <v>40</v>
      </c>
      <c r="Y15" s="22">
        <v>45</v>
      </c>
      <c r="Z15" s="58">
        <f>RANK(Y15,$Y$5:Y$69)</f>
        <v>8</v>
      </c>
      <c r="AA15" s="6">
        <f t="shared" si="0"/>
        <v>546</v>
      </c>
      <c r="AB15" s="57">
        <f t="shared" si="1"/>
        <v>36.4</v>
      </c>
      <c r="AC15" s="57">
        <v>37.388888888888893</v>
      </c>
      <c r="AD15" s="57">
        <f t="shared" si="2"/>
        <v>36.894444444444446</v>
      </c>
      <c r="AE15" s="58">
        <f>RANK(AD15,AD$6:$AD$69,0)</f>
        <v>21</v>
      </c>
    </row>
    <row r="16" spans="1:31" ht="20" customHeight="1">
      <c r="A16" s="46">
        <v>11</v>
      </c>
      <c r="B16" s="8" t="s">
        <v>15</v>
      </c>
      <c r="C16" s="22">
        <v>120</v>
      </c>
      <c r="D16" s="58">
        <f>RANK(C16,C$5:$C$69,0)</f>
        <v>2</v>
      </c>
      <c r="E16" s="22">
        <v>36</v>
      </c>
      <c r="F16" s="58">
        <f>RANK(E16,E$5:$E$69,0)</f>
        <v>7</v>
      </c>
      <c r="G16" s="6">
        <v>35</v>
      </c>
      <c r="H16" s="58">
        <f>RANK(G16,$G$5:G$69)</f>
        <v>9</v>
      </c>
      <c r="I16" s="6">
        <v>34</v>
      </c>
      <c r="J16" s="58">
        <f>RANK(I16,$I$5:I$69)</f>
        <v>19</v>
      </c>
      <c r="K16" s="6">
        <v>75</v>
      </c>
      <c r="L16" s="58">
        <f>RANK(K16,$K$5:K$69)</f>
        <v>38</v>
      </c>
      <c r="M16" s="6">
        <v>15</v>
      </c>
      <c r="N16" s="58">
        <f>RANK(M16,$M$5:M$69)</f>
        <v>26</v>
      </c>
      <c r="O16" s="6">
        <v>18</v>
      </c>
      <c r="P16" s="58">
        <f>RANK(O16,$O$5:O$69)</f>
        <v>27</v>
      </c>
      <c r="Q16" s="6">
        <v>35</v>
      </c>
      <c r="R16" s="58">
        <f>RANK(Q16,$Q$5:Q$69)</f>
        <v>21</v>
      </c>
      <c r="S16" s="22">
        <v>25</v>
      </c>
      <c r="T16" s="58">
        <f>RANK(S16,$S$5:S$69)</f>
        <v>1</v>
      </c>
      <c r="U16" s="22">
        <v>95</v>
      </c>
      <c r="V16" s="58">
        <f>RANK(U16,$U$5:U$69)</f>
        <v>6</v>
      </c>
      <c r="W16" s="22">
        <v>35</v>
      </c>
      <c r="X16" s="58">
        <f>RANK(W16,$W$5:W$69)</f>
        <v>17</v>
      </c>
      <c r="Y16" s="22">
        <v>45</v>
      </c>
      <c r="Z16" s="58">
        <f>RANK(Y16,$Y$5:Y$69)</f>
        <v>8</v>
      </c>
      <c r="AA16" s="6">
        <f t="shared" si="0"/>
        <v>568</v>
      </c>
      <c r="AB16" s="57">
        <f t="shared" si="1"/>
        <v>37.866666666666667</v>
      </c>
      <c r="AC16" s="57">
        <v>30.644444444444446</v>
      </c>
      <c r="AD16" s="57">
        <f t="shared" si="2"/>
        <v>34.25555555555556</v>
      </c>
      <c r="AE16" s="58">
        <f>RANK(AD16,AD$6:$AD$69,0)</f>
        <v>27</v>
      </c>
    </row>
    <row r="17" spans="1:31" ht="20" customHeight="1">
      <c r="A17" s="46">
        <v>12</v>
      </c>
      <c r="B17" s="8" t="s">
        <v>74</v>
      </c>
      <c r="C17" s="22">
        <v>120</v>
      </c>
      <c r="D17" s="58">
        <f>RANK(C17,C$5:$C$69,0)</f>
        <v>2</v>
      </c>
      <c r="E17" s="22">
        <v>36</v>
      </c>
      <c r="F17" s="58">
        <f>RANK(E17,E$5:$E$69,0)</f>
        <v>7</v>
      </c>
      <c r="G17" s="6">
        <v>36</v>
      </c>
      <c r="H17" s="58">
        <f>RANK(G17,$G$5:G$69)</f>
        <v>1</v>
      </c>
      <c r="I17" s="6">
        <v>35</v>
      </c>
      <c r="J17" s="58">
        <f>RANK(I17,$I$5:I$69)</f>
        <v>4</v>
      </c>
      <c r="K17" s="6">
        <v>130</v>
      </c>
      <c r="L17" s="58">
        <f>RANK(K17,$K$5:K$69)</f>
        <v>11</v>
      </c>
      <c r="M17" s="6">
        <v>15</v>
      </c>
      <c r="N17" s="58">
        <f>RANK(M17,$M$5:M$69)</f>
        <v>26</v>
      </c>
      <c r="O17" s="6">
        <v>36</v>
      </c>
      <c r="P17" s="58">
        <f>RANK(O17,$O$5:O$69)</f>
        <v>1</v>
      </c>
      <c r="Q17" s="6">
        <v>36</v>
      </c>
      <c r="R17" s="58">
        <f>RANK(Q17,$Q$5:Q$69)</f>
        <v>1</v>
      </c>
      <c r="S17" s="22">
        <v>24</v>
      </c>
      <c r="T17" s="58">
        <f>RANK(S17,$S$5:S$69)</f>
        <v>16</v>
      </c>
      <c r="U17" s="22">
        <v>90</v>
      </c>
      <c r="V17" s="58">
        <f>RANK(U17,$U$5:U$69)</f>
        <v>39</v>
      </c>
      <c r="W17" s="22">
        <v>37</v>
      </c>
      <c r="X17" s="58">
        <f>RANK(W17,$W$5:W$69)</f>
        <v>1</v>
      </c>
      <c r="Y17" s="22">
        <v>45</v>
      </c>
      <c r="Z17" s="58">
        <f>RANK(Y17,$Y$5:Y$69)</f>
        <v>8</v>
      </c>
      <c r="AA17" s="6">
        <f t="shared" si="0"/>
        <v>640</v>
      </c>
      <c r="AB17" s="57">
        <f t="shared" si="1"/>
        <v>42.666666666666664</v>
      </c>
      <c r="AC17" s="57">
        <v>41.922222222222224</v>
      </c>
      <c r="AD17" s="57">
        <f t="shared" si="2"/>
        <v>42.294444444444444</v>
      </c>
      <c r="AE17" s="58">
        <f>RANK(AD17,AD$6:$AD$69,0)</f>
        <v>11</v>
      </c>
    </row>
    <row r="18" spans="1:31" ht="20" customHeight="1">
      <c r="A18" s="46">
        <v>13</v>
      </c>
      <c r="B18" s="8" t="s">
        <v>16</v>
      </c>
      <c r="C18" s="22">
        <v>80</v>
      </c>
      <c r="D18" s="58">
        <f>RANK(C18,C$5:$C$69,0)</f>
        <v>27</v>
      </c>
      <c r="E18" s="22">
        <v>36</v>
      </c>
      <c r="F18" s="58">
        <f>RANK(E18,E$5:$E$69,0)</f>
        <v>7</v>
      </c>
      <c r="G18" s="6">
        <v>30</v>
      </c>
      <c r="H18" s="58">
        <f>RANK(G18,$G$5:G$69)</f>
        <v>42</v>
      </c>
      <c r="I18" s="6">
        <v>34</v>
      </c>
      <c r="J18" s="58">
        <f>RANK(I18,$I$5:I$69)</f>
        <v>19</v>
      </c>
      <c r="K18" s="6">
        <v>75</v>
      </c>
      <c r="L18" s="58">
        <f>RANK(K18,$K$5:K$69)</f>
        <v>38</v>
      </c>
      <c r="M18" s="6">
        <v>15</v>
      </c>
      <c r="N18" s="58">
        <f>RANK(M18,$M$5:M$69)</f>
        <v>26</v>
      </c>
      <c r="O18" s="6">
        <v>20</v>
      </c>
      <c r="P18" s="58">
        <f>RANK(O18,$O$5:O$69)</f>
        <v>20</v>
      </c>
      <c r="Q18" s="6">
        <v>34</v>
      </c>
      <c r="R18" s="58">
        <f>RANK(Q18,$Q$5:Q$69)</f>
        <v>29</v>
      </c>
      <c r="S18" s="22">
        <v>25</v>
      </c>
      <c r="T18" s="58">
        <f>RANK(S18,$S$5:S$69)</f>
        <v>1</v>
      </c>
      <c r="U18" s="22">
        <v>92</v>
      </c>
      <c r="V18" s="58">
        <f>RANK(U18,$U$5:U$69)</f>
        <v>30</v>
      </c>
      <c r="W18" s="22">
        <v>35</v>
      </c>
      <c r="X18" s="58">
        <f>RANK(W18,$W$5:W$69)</f>
        <v>17</v>
      </c>
      <c r="Y18" s="22">
        <v>46</v>
      </c>
      <c r="Z18" s="58">
        <f>RANK(Y18,$Y$5:Y$69)</f>
        <v>5</v>
      </c>
      <c r="AA18" s="6">
        <f t="shared" si="0"/>
        <v>522</v>
      </c>
      <c r="AB18" s="57">
        <f t="shared" si="1"/>
        <v>34.799999999999997</v>
      </c>
      <c r="AC18" s="57">
        <v>28.925396825396827</v>
      </c>
      <c r="AD18" s="57">
        <f t="shared" si="2"/>
        <v>31.862698412698414</v>
      </c>
      <c r="AE18" s="58">
        <f>RANK(AD18,AD$6:$AD$69,0)</f>
        <v>31</v>
      </c>
    </row>
    <row r="19" spans="1:31" ht="20" customHeight="1">
      <c r="A19" s="46">
        <v>14</v>
      </c>
      <c r="B19" s="8" t="s">
        <v>17</v>
      </c>
      <c r="C19" s="22">
        <v>20</v>
      </c>
      <c r="D19" s="58">
        <f>RANK(C19,C$5:$C$69,0)</f>
        <v>44</v>
      </c>
      <c r="E19" s="22">
        <v>0</v>
      </c>
      <c r="F19" s="58">
        <f>RANK(E19,E$5:$E$69,0)</f>
        <v>43</v>
      </c>
      <c r="G19" s="6">
        <v>33</v>
      </c>
      <c r="H19" s="58">
        <f>RANK(G19,$G$5:G$69)</f>
        <v>31</v>
      </c>
      <c r="I19" s="6">
        <v>34</v>
      </c>
      <c r="J19" s="58">
        <f>RANK(I19,$I$5:I$69)</f>
        <v>19</v>
      </c>
      <c r="K19" s="6">
        <v>100</v>
      </c>
      <c r="L19" s="58">
        <f>RANK(K19,$K$5:K$69)</f>
        <v>27</v>
      </c>
      <c r="M19" s="6">
        <v>50</v>
      </c>
      <c r="N19" s="58">
        <f>RANK(M19,$M$5:M$69)</f>
        <v>1</v>
      </c>
      <c r="O19" s="6">
        <v>36</v>
      </c>
      <c r="P19" s="58">
        <f>RANK(O19,$O$5:O$69)</f>
        <v>1</v>
      </c>
      <c r="Q19" s="6">
        <v>36</v>
      </c>
      <c r="R19" s="58">
        <f>RANK(Q19,$Q$5:Q$69)</f>
        <v>1</v>
      </c>
      <c r="S19" s="22">
        <v>24</v>
      </c>
      <c r="T19" s="58">
        <f>RANK(S19,$S$5:S$69)</f>
        <v>16</v>
      </c>
      <c r="U19" s="22">
        <v>0</v>
      </c>
      <c r="V19" s="58">
        <f>RANK(U19,$U$5:U$69)</f>
        <v>45</v>
      </c>
      <c r="W19" s="22">
        <v>35</v>
      </c>
      <c r="X19" s="58">
        <f>RANK(W19,$W$5:W$69)</f>
        <v>17</v>
      </c>
      <c r="Y19" s="22">
        <v>45</v>
      </c>
      <c r="Z19" s="58">
        <f>RANK(Y19,$Y$5:Y$69)</f>
        <v>8</v>
      </c>
      <c r="AA19" s="6">
        <f t="shared" si="0"/>
        <v>413</v>
      </c>
      <c r="AB19" s="57">
        <f t="shared" si="1"/>
        <v>27.533333333333335</v>
      </c>
      <c r="AC19" s="57">
        <v>23.661904761904761</v>
      </c>
      <c r="AD19" s="57">
        <f t="shared" si="2"/>
        <v>25.597619047619048</v>
      </c>
      <c r="AE19" s="58">
        <f>RANK(AD19,AD$6:$AD$69,0)</f>
        <v>44</v>
      </c>
    </row>
    <row r="20" spans="1:31" ht="20" customHeight="1">
      <c r="A20" s="46">
        <v>15</v>
      </c>
      <c r="B20" s="8" t="s">
        <v>21</v>
      </c>
      <c r="C20" s="22">
        <v>80</v>
      </c>
      <c r="D20" s="58">
        <f>RANK(C20,C$5:$C$69,0)</f>
        <v>27</v>
      </c>
      <c r="E20" s="22">
        <v>34</v>
      </c>
      <c r="F20" s="58">
        <f>RANK(E20,E$5:$E$69,0)</f>
        <v>36</v>
      </c>
      <c r="G20" s="6">
        <v>34</v>
      </c>
      <c r="H20" s="58">
        <f>RANK(G20,$G$5:G$69)</f>
        <v>29</v>
      </c>
      <c r="I20" s="6">
        <v>34</v>
      </c>
      <c r="J20" s="58">
        <f>RANK(I20,$I$5:I$69)</f>
        <v>19</v>
      </c>
      <c r="K20" s="6">
        <v>100</v>
      </c>
      <c r="L20" s="58">
        <f>RANK(K20,$K$5:K$69)</f>
        <v>27</v>
      </c>
      <c r="M20" s="6">
        <v>15</v>
      </c>
      <c r="N20" s="58">
        <f>RANK(M20,$M$5:M$69)</f>
        <v>26</v>
      </c>
      <c r="O20" s="6">
        <v>20</v>
      </c>
      <c r="P20" s="58">
        <f>RANK(O20,$O$5:O$69)</f>
        <v>20</v>
      </c>
      <c r="Q20" s="6">
        <v>35</v>
      </c>
      <c r="R20" s="58">
        <f>RANK(Q20,$Q$5:Q$69)</f>
        <v>21</v>
      </c>
      <c r="S20" s="22">
        <v>24</v>
      </c>
      <c r="T20" s="58">
        <f>RANK(S20,$S$5:S$69)</f>
        <v>16</v>
      </c>
      <c r="U20" s="22">
        <v>93</v>
      </c>
      <c r="V20" s="58">
        <f>RANK(U20,$U$5:U$69)</f>
        <v>23</v>
      </c>
      <c r="W20" s="22">
        <v>35</v>
      </c>
      <c r="X20" s="58">
        <f>RANK(W20,$W$5:W$69)</f>
        <v>17</v>
      </c>
      <c r="Y20" s="22">
        <v>45</v>
      </c>
      <c r="Z20" s="58">
        <f>RANK(Y20,$Y$5:Y$69)</f>
        <v>8</v>
      </c>
      <c r="AA20" s="6">
        <f t="shared" si="0"/>
        <v>549</v>
      </c>
      <c r="AB20" s="57">
        <f t="shared" si="1"/>
        <v>36.6</v>
      </c>
      <c r="AC20" s="57">
        <v>33.893650793650799</v>
      </c>
      <c r="AD20" s="57">
        <f t="shared" si="2"/>
        <v>35.2468253968254</v>
      </c>
      <c r="AE20" s="58">
        <f>RANK(AD20,AD$6:$AD$69,0)</f>
        <v>24</v>
      </c>
    </row>
    <row r="21" spans="1:31" ht="20" customHeight="1">
      <c r="A21" s="46">
        <v>16</v>
      </c>
      <c r="B21" s="8" t="s">
        <v>18</v>
      </c>
      <c r="C21" s="22">
        <v>110</v>
      </c>
      <c r="D21" s="58">
        <f>RANK(C21,C$5:$C$69,0)</f>
        <v>12</v>
      </c>
      <c r="E21" s="22">
        <v>36</v>
      </c>
      <c r="F21" s="58">
        <f>RANK(E21,E$5:$E$69,0)</f>
        <v>7</v>
      </c>
      <c r="G21" s="6">
        <v>35</v>
      </c>
      <c r="H21" s="58">
        <f>RANK(G21,$G$5:G$69)</f>
        <v>9</v>
      </c>
      <c r="I21" s="6">
        <v>35</v>
      </c>
      <c r="J21" s="58">
        <f>RANK(I21,$I$5:I$69)</f>
        <v>4</v>
      </c>
      <c r="K21" s="6">
        <v>130</v>
      </c>
      <c r="L21" s="58">
        <f>RANK(K21,$K$5:K$69)</f>
        <v>11</v>
      </c>
      <c r="M21" s="6">
        <v>25</v>
      </c>
      <c r="N21" s="58">
        <f>RANK(M21,$M$5:M$69)</f>
        <v>14</v>
      </c>
      <c r="O21" s="6">
        <v>36</v>
      </c>
      <c r="P21" s="58">
        <f>RANK(O21,$O$5:O$69)</f>
        <v>1</v>
      </c>
      <c r="Q21" s="6">
        <v>36</v>
      </c>
      <c r="R21" s="58">
        <f>RANK(Q21,$Q$5:Q$69)</f>
        <v>1</v>
      </c>
      <c r="S21" s="22">
        <v>25</v>
      </c>
      <c r="T21" s="58">
        <f>RANK(S21,$S$5:S$69)</f>
        <v>1</v>
      </c>
      <c r="U21" s="22">
        <v>95</v>
      </c>
      <c r="V21" s="58">
        <f>RANK(U21,$U$5:U$69)</f>
        <v>6</v>
      </c>
      <c r="W21" s="22">
        <v>35</v>
      </c>
      <c r="X21" s="58">
        <f>RANK(W21,$W$5:W$69)</f>
        <v>17</v>
      </c>
      <c r="Y21" s="22">
        <v>45</v>
      </c>
      <c r="Z21" s="58">
        <f>RANK(Y21,$Y$5:Y$69)</f>
        <v>8</v>
      </c>
      <c r="AA21" s="6">
        <f t="shared" si="0"/>
        <v>643</v>
      </c>
      <c r="AB21" s="57">
        <f t="shared" si="1"/>
        <v>42.866666666666667</v>
      </c>
      <c r="AC21" s="57">
        <v>42.485714285714288</v>
      </c>
      <c r="AD21" s="57">
        <f t="shared" si="2"/>
        <v>42.676190476190477</v>
      </c>
      <c r="AE21" s="58">
        <f>RANK(AD21,AD$6:$AD$69,0)</f>
        <v>9</v>
      </c>
    </row>
    <row r="22" spans="1:31" ht="20" customHeight="1">
      <c r="A22" s="46">
        <v>17</v>
      </c>
      <c r="B22" s="8" t="s">
        <v>19</v>
      </c>
      <c r="C22" s="22">
        <v>110</v>
      </c>
      <c r="D22" s="58">
        <f>RANK(C22,C$5:$C$69,0)</f>
        <v>12</v>
      </c>
      <c r="E22" s="22">
        <v>37</v>
      </c>
      <c r="F22" s="58">
        <f>RANK(E22,E$5:$E$69,0)</f>
        <v>1</v>
      </c>
      <c r="G22" s="6">
        <v>35</v>
      </c>
      <c r="H22" s="58">
        <f>RANK(G22,$G$5:G$69)</f>
        <v>9</v>
      </c>
      <c r="I22" s="6">
        <v>35</v>
      </c>
      <c r="J22" s="58">
        <f>RANK(I22,$I$5:I$69)</f>
        <v>4</v>
      </c>
      <c r="K22" s="6">
        <v>145</v>
      </c>
      <c r="L22" s="58">
        <f>RANK(K22,$K$5:K$69)</f>
        <v>1</v>
      </c>
      <c r="M22" s="6">
        <v>25</v>
      </c>
      <c r="N22" s="58">
        <f>RANK(M22,$M$5:M$69)</f>
        <v>14</v>
      </c>
      <c r="O22" s="6">
        <v>13</v>
      </c>
      <c r="P22" s="58">
        <f>RANK(O22,$O$5:O$69)</f>
        <v>41</v>
      </c>
      <c r="Q22" s="6">
        <v>36</v>
      </c>
      <c r="R22" s="58">
        <f>RANK(Q22,$Q$5:Q$69)</f>
        <v>1</v>
      </c>
      <c r="S22" s="22">
        <v>24</v>
      </c>
      <c r="T22" s="58">
        <f>RANK(S22,$S$5:S$69)</f>
        <v>16</v>
      </c>
      <c r="U22" s="22">
        <v>93</v>
      </c>
      <c r="V22" s="58">
        <f>RANK(U22,$U$5:U$69)</f>
        <v>23</v>
      </c>
      <c r="W22" s="22">
        <v>37</v>
      </c>
      <c r="X22" s="58">
        <f>RANK(W22,$W$5:W$69)</f>
        <v>1</v>
      </c>
      <c r="Y22" s="22">
        <v>45</v>
      </c>
      <c r="Z22" s="58">
        <f>RANK(Y22,$Y$5:Y$69)</f>
        <v>8</v>
      </c>
      <c r="AA22" s="6">
        <f t="shared" si="0"/>
        <v>635</v>
      </c>
      <c r="AB22" s="57">
        <f t="shared" si="1"/>
        <v>42.333333333333336</v>
      </c>
      <c r="AC22" s="57">
        <v>44.009523809523813</v>
      </c>
      <c r="AD22" s="57">
        <f t="shared" si="2"/>
        <v>43.171428571428578</v>
      </c>
      <c r="AE22" s="58">
        <f>RANK(AD22,AD$6:$AD$69,0)</f>
        <v>7</v>
      </c>
    </row>
    <row r="23" spans="1:31" ht="20" customHeight="1">
      <c r="A23" s="46">
        <v>18</v>
      </c>
      <c r="B23" s="8" t="s">
        <v>20</v>
      </c>
      <c r="C23" s="22">
        <v>35</v>
      </c>
      <c r="D23" s="58">
        <f>RANK(C23,C$5:$C$69,0)</f>
        <v>42</v>
      </c>
      <c r="E23" s="22">
        <v>34</v>
      </c>
      <c r="F23" s="58">
        <f>RANK(E23,E$5:$E$69,0)</f>
        <v>36</v>
      </c>
      <c r="G23" s="6">
        <v>36</v>
      </c>
      <c r="H23" s="58">
        <f>RANK(G23,$G$5:G$69)</f>
        <v>1</v>
      </c>
      <c r="I23" s="6">
        <v>35</v>
      </c>
      <c r="J23" s="58">
        <f>RANK(I23,$I$5:I$69)</f>
        <v>4</v>
      </c>
      <c r="K23" s="6">
        <v>120</v>
      </c>
      <c r="L23" s="58">
        <f>RANK(K23,$K$5:K$69)</f>
        <v>20</v>
      </c>
      <c r="M23" s="6">
        <v>50</v>
      </c>
      <c r="N23" s="58">
        <f>RANK(M23,$M$5:M$69)</f>
        <v>1</v>
      </c>
      <c r="O23" s="6">
        <v>36</v>
      </c>
      <c r="P23" s="58">
        <f>RANK(O23,$O$5:O$69)</f>
        <v>1</v>
      </c>
      <c r="Q23" s="6">
        <v>31</v>
      </c>
      <c r="R23" s="58">
        <f>RANK(Q23,$Q$5:Q$69)</f>
        <v>40</v>
      </c>
      <c r="S23" s="22">
        <v>13</v>
      </c>
      <c r="T23" s="58">
        <f>RANK(S23,$S$5:S$69)</f>
        <v>39</v>
      </c>
      <c r="U23" s="22">
        <v>96</v>
      </c>
      <c r="V23" s="58">
        <f>RANK(U23,$U$5:U$69)</f>
        <v>3</v>
      </c>
      <c r="W23" s="22">
        <v>34</v>
      </c>
      <c r="X23" s="58">
        <f>RANK(W23,$W$5:W$69)</f>
        <v>30</v>
      </c>
      <c r="Y23" s="22">
        <v>45</v>
      </c>
      <c r="Z23" s="58">
        <f>RANK(Y23,$Y$5:Y$69)</f>
        <v>8</v>
      </c>
      <c r="AA23" s="6">
        <f t="shared" si="0"/>
        <v>565</v>
      </c>
      <c r="AB23" s="57">
        <f t="shared" si="1"/>
        <v>37.666666666666664</v>
      </c>
      <c r="AC23" s="57">
        <v>31.633333333333336</v>
      </c>
      <c r="AD23" s="57">
        <f t="shared" si="2"/>
        <v>34.65</v>
      </c>
      <c r="AE23" s="58">
        <f>RANK(AD23,AD$6:$AD$69,0)</f>
        <v>26</v>
      </c>
    </row>
    <row r="24" spans="1:31" ht="20" customHeight="1">
      <c r="A24" s="46">
        <v>19</v>
      </c>
      <c r="B24" s="8" t="s">
        <v>22</v>
      </c>
      <c r="C24" s="22">
        <v>90</v>
      </c>
      <c r="D24" s="58">
        <f>RANK(C24,C$5:$C$69,0)</f>
        <v>21</v>
      </c>
      <c r="E24" s="22">
        <v>36</v>
      </c>
      <c r="F24" s="58">
        <f>RANK(E24,E$5:$E$69,0)</f>
        <v>7</v>
      </c>
      <c r="G24" s="6">
        <v>35</v>
      </c>
      <c r="H24" s="58">
        <f>RANK(G24,$G$5:G$69)</f>
        <v>9</v>
      </c>
      <c r="I24" s="6">
        <v>34</v>
      </c>
      <c r="J24" s="58">
        <f>RANK(I24,$I$5:I$69)</f>
        <v>19</v>
      </c>
      <c r="K24" s="6">
        <v>120</v>
      </c>
      <c r="L24" s="58">
        <f>RANK(K24,$K$5:K$69)</f>
        <v>20</v>
      </c>
      <c r="M24" s="6">
        <v>10</v>
      </c>
      <c r="N24" s="58">
        <f>RANK(M24,$M$5:M$69)</f>
        <v>39</v>
      </c>
      <c r="O24" s="6">
        <v>8</v>
      </c>
      <c r="P24" s="58">
        <f>RANK(O24,$O$5:O$69)</f>
        <v>43</v>
      </c>
      <c r="Q24" s="6">
        <v>36</v>
      </c>
      <c r="R24" s="58">
        <f>RANK(Q24,$Q$5:Q$69)</f>
        <v>1</v>
      </c>
      <c r="S24" s="22">
        <v>15</v>
      </c>
      <c r="T24" s="58">
        <f>RANK(S24,$S$5:S$69)</f>
        <v>32</v>
      </c>
      <c r="U24" s="22">
        <v>93</v>
      </c>
      <c r="V24" s="58">
        <f>RANK(U24,$U$5:U$69)</f>
        <v>23</v>
      </c>
      <c r="W24" s="22">
        <v>35</v>
      </c>
      <c r="X24" s="58">
        <f>RANK(W24,$W$5:W$69)</f>
        <v>17</v>
      </c>
      <c r="Y24" s="22">
        <v>47</v>
      </c>
      <c r="Z24" s="58">
        <f>RANK(Y24,$Y$5:Y$69)</f>
        <v>2</v>
      </c>
      <c r="AA24" s="6">
        <f t="shared" si="0"/>
        <v>559</v>
      </c>
      <c r="AB24" s="57">
        <f t="shared" si="1"/>
        <v>37.266666666666666</v>
      </c>
      <c r="AC24" s="57">
        <v>33.374603174603173</v>
      </c>
      <c r="AD24" s="57">
        <f t="shared" si="2"/>
        <v>35.320634920634916</v>
      </c>
      <c r="AE24" s="58">
        <f>RANK(AD24,AD$6:$AD$69,0)</f>
        <v>23</v>
      </c>
    </row>
    <row r="25" spans="1:31" ht="20" customHeight="1">
      <c r="A25" s="46">
        <v>20</v>
      </c>
      <c r="B25" s="8" t="s">
        <v>23</v>
      </c>
      <c r="C25" s="22">
        <v>110</v>
      </c>
      <c r="D25" s="58">
        <f>RANK(C25,C$5:$C$69,0)</f>
        <v>12</v>
      </c>
      <c r="E25" s="22">
        <v>36</v>
      </c>
      <c r="F25" s="58">
        <f>RANK(E25,E$5:$E$69,0)</f>
        <v>7</v>
      </c>
      <c r="G25" s="6">
        <v>35</v>
      </c>
      <c r="H25" s="58">
        <f>RANK(G25,$G$5:G$69)</f>
        <v>9</v>
      </c>
      <c r="I25" s="6">
        <v>35</v>
      </c>
      <c r="J25" s="58">
        <f>RANK(I25,$I$5:I$69)</f>
        <v>4</v>
      </c>
      <c r="K25" s="6">
        <v>130</v>
      </c>
      <c r="L25" s="58">
        <f>RANK(K25,$K$5:K$69)</f>
        <v>11</v>
      </c>
      <c r="M25" s="6">
        <v>25</v>
      </c>
      <c r="N25" s="58">
        <f>RANK(M25,$M$5:M$69)</f>
        <v>14</v>
      </c>
      <c r="O25" s="6">
        <v>36</v>
      </c>
      <c r="P25" s="58">
        <f>RANK(O25,$O$5:O$69)</f>
        <v>1</v>
      </c>
      <c r="Q25" s="6">
        <v>36</v>
      </c>
      <c r="R25" s="58">
        <f>RANK(Q25,$Q$5:Q$69)</f>
        <v>1</v>
      </c>
      <c r="S25" s="22">
        <v>25</v>
      </c>
      <c r="T25" s="58">
        <f>RANK(S25,$S$5:S$69)</f>
        <v>1</v>
      </c>
      <c r="U25" s="22">
        <v>92</v>
      </c>
      <c r="V25" s="58">
        <f>RANK(U25,$U$5:U$69)</f>
        <v>30</v>
      </c>
      <c r="W25" s="22">
        <v>37</v>
      </c>
      <c r="X25" s="58">
        <f>RANK(W25,$W$5:W$69)</f>
        <v>1</v>
      </c>
      <c r="Y25" s="22">
        <v>45</v>
      </c>
      <c r="Z25" s="58">
        <f>RANK(Y25,$Y$5:Y$69)</f>
        <v>8</v>
      </c>
      <c r="AA25" s="6">
        <f t="shared" si="0"/>
        <v>642</v>
      </c>
      <c r="AB25" s="57">
        <f t="shared" si="1"/>
        <v>42.8</v>
      </c>
      <c r="AC25" s="57">
        <v>42.152380952380952</v>
      </c>
      <c r="AD25" s="57">
        <f t="shared" si="2"/>
        <v>42.476190476190474</v>
      </c>
      <c r="AE25" s="58">
        <f>RANK(AD25,AD$6:$AD$69,0)</f>
        <v>10</v>
      </c>
    </row>
    <row r="26" spans="1:31" ht="20" customHeight="1">
      <c r="A26" s="46">
        <v>21</v>
      </c>
      <c r="B26" s="8" t="s">
        <v>24</v>
      </c>
      <c r="C26" s="22">
        <v>70</v>
      </c>
      <c r="D26" s="58">
        <f>RANK(C26,C$5:$C$69,0)</f>
        <v>36</v>
      </c>
      <c r="E26" s="22">
        <v>36</v>
      </c>
      <c r="F26" s="58">
        <f>RANK(E26,E$5:$E$69,0)</f>
        <v>7</v>
      </c>
      <c r="G26" s="6">
        <v>35</v>
      </c>
      <c r="H26" s="58">
        <f>RANK(G26,$G$5:G$69)</f>
        <v>9</v>
      </c>
      <c r="I26" s="6">
        <v>33</v>
      </c>
      <c r="J26" s="58">
        <f>RANK(I26,$I$5:I$69)</f>
        <v>36</v>
      </c>
      <c r="K26" s="6">
        <v>130</v>
      </c>
      <c r="L26" s="58">
        <f>RANK(K26,$K$5:K$69)</f>
        <v>11</v>
      </c>
      <c r="M26" s="6">
        <v>20</v>
      </c>
      <c r="N26" s="58">
        <f>RANK(M26,$M$5:M$69)</f>
        <v>24</v>
      </c>
      <c r="O26" s="6">
        <v>36</v>
      </c>
      <c r="P26" s="58">
        <f>RANK(O26,$O$5:O$69)</f>
        <v>1</v>
      </c>
      <c r="Q26" s="6">
        <v>36</v>
      </c>
      <c r="R26" s="58">
        <f>RANK(Q26,$Q$5:Q$69)</f>
        <v>1</v>
      </c>
      <c r="S26" s="22">
        <v>25</v>
      </c>
      <c r="T26" s="58">
        <f>RANK(S26,$S$5:S$69)</f>
        <v>1</v>
      </c>
      <c r="U26" s="22">
        <v>95</v>
      </c>
      <c r="V26" s="58">
        <f>RANK(U26,$U$5:U$69)</f>
        <v>6</v>
      </c>
      <c r="W26" s="22">
        <v>37</v>
      </c>
      <c r="X26" s="58">
        <f>RANK(W26,$W$5:W$69)</f>
        <v>1</v>
      </c>
      <c r="Y26" s="22">
        <v>45</v>
      </c>
      <c r="Z26" s="58">
        <f>RANK(Y26,$Y$5:Y$69)</f>
        <v>8</v>
      </c>
      <c r="AA26" s="6">
        <f t="shared" si="0"/>
        <v>598</v>
      </c>
      <c r="AB26" s="57">
        <f t="shared" si="1"/>
        <v>39.866666666666667</v>
      </c>
      <c r="AC26" s="57">
        <v>39.893650793650792</v>
      </c>
      <c r="AD26" s="57">
        <f t="shared" si="2"/>
        <v>39.880158730158726</v>
      </c>
      <c r="AE26" s="58">
        <f>RANK(AD26,AD$6:$AD$69,0)</f>
        <v>17</v>
      </c>
    </row>
    <row r="27" spans="1:31" ht="20" customHeight="1">
      <c r="A27" s="46">
        <v>22</v>
      </c>
      <c r="B27" s="8" t="s">
        <v>25</v>
      </c>
      <c r="C27" s="22">
        <v>110</v>
      </c>
      <c r="D27" s="58">
        <f>RANK(C27,C$5:$C$69,0)</f>
        <v>12</v>
      </c>
      <c r="E27" s="22">
        <v>34</v>
      </c>
      <c r="F27" s="58">
        <f>RANK(E27,E$5:$E$69,0)</f>
        <v>36</v>
      </c>
      <c r="G27" s="6">
        <v>33</v>
      </c>
      <c r="H27" s="58">
        <f>RANK(G27,$G$5:G$69)</f>
        <v>31</v>
      </c>
      <c r="I27" s="6">
        <v>33</v>
      </c>
      <c r="J27" s="58">
        <f>RANK(I27,$I$5:I$69)</f>
        <v>36</v>
      </c>
      <c r="K27" s="6">
        <v>100</v>
      </c>
      <c r="L27" s="58">
        <f>RANK(K27,$K$5:K$69)</f>
        <v>27</v>
      </c>
      <c r="M27" s="6">
        <v>10</v>
      </c>
      <c r="N27" s="58">
        <f>RANK(M27,$M$5:M$69)</f>
        <v>39</v>
      </c>
      <c r="O27" s="6">
        <v>36</v>
      </c>
      <c r="P27" s="58">
        <f>RANK(O27,$O$5:O$69)</f>
        <v>1</v>
      </c>
      <c r="Q27" s="6">
        <v>34</v>
      </c>
      <c r="R27" s="58">
        <f>RANK(Q27,$Q$5:Q$69)</f>
        <v>29</v>
      </c>
      <c r="S27" s="22">
        <v>24</v>
      </c>
      <c r="T27" s="58">
        <f>RANK(S27,$S$5:S$69)</f>
        <v>16</v>
      </c>
      <c r="U27" s="22">
        <v>95</v>
      </c>
      <c r="V27" s="58">
        <f>RANK(U27,$U$5:U$69)</f>
        <v>6</v>
      </c>
      <c r="W27" s="22">
        <v>35</v>
      </c>
      <c r="X27" s="58">
        <f>RANK(W27,$W$5:W$69)</f>
        <v>17</v>
      </c>
      <c r="Y27" s="22">
        <v>47</v>
      </c>
      <c r="Z27" s="58">
        <f>RANK(Y27,$Y$5:Y$69)</f>
        <v>2</v>
      </c>
      <c r="AA27" s="6">
        <f t="shared" si="0"/>
        <v>591</v>
      </c>
      <c r="AB27" s="57">
        <f t="shared" si="1"/>
        <v>39.4</v>
      </c>
      <c r="AC27" s="57">
        <v>34.726984126984128</v>
      </c>
      <c r="AD27" s="57">
        <f t="shared" si="2"/>
        <v>37.063492063492063</v>
      </c>
      <c r="AE27" s="58">
        <f>RANK(AD27,AD$6:$AD$69,0)</f>
        <v>20</v>
      </c>
    </row>
    <row r="28" spans="1:31" ht="20" customHeight="1">
      <c r="A28" s="46">
        <v>23</v>
      </c>
      <c r="B28" s="8" t="s">
        <v>26</v>
      </c>
      <c r="C28" s="22">
        <v>90</v>
      </c>
      <c r="D28" s="58">
        <f>RANK(C28,C$5:$C$69,0)</f>
        <v>21</v>
      </c>
      <c r="E28" s="22">
        <v>36</v>
      </c>
      <c r="F28" s="58">
        <f>RANK(E28,E$5:$E$69,0)</f>
        <v>7</v>
      </c>
      <c r="G28" s="6">
        <v>35</v>
      </c>
      <c r="H28" s="58">
        <f>RANK(G28,$G$5:G$69)</f>
        <v>9</v>
      </c>
      <c r="I28" s="6">
        <v>35</v>
      </c>
      <c r="J28" s="58">
        <f>RANK(I28,$I$5:I$69)</f>
        <v>4</v>
      </c>
      <c r="K28" s="6">
        <v>140</v>
      </c>
      <c r="L28" s="58">
        <f>RANK(K28,$K$5:K$69)</f>
        <v>6</v>
      </c>
      <c r="M28" s="6">
        <v>25</v>
      </c>
      <c r="N28" s="58">
        <f>RANK(M28,$M$5:M$69)</f>
        <v>14</v>
      </c>
      <c r="O28" s="6">
        <v>20</v>
      </c>
      <c r="P28" s="58">
        <f>RANK(O28,$O$5:O$69)</f>
        <v>20</v>
      </c>
      <c r="Q28" s="6">
        <v>36</v>
      </c>
      <c r="R28" s="58">
        <f>RANK(Q28,$Q$5:Q$69)</f>
        <v>1</v>
      </c>
      <c r="S28" s="22">
        <v>25</v>
      </c>
      <c r="T28" s="58">
        <f>RANK(S28,$S$5:S$69)</f>
        <v>1</v>
      </c>
      <c r="U28" s="22">
        <v>95</v>
      </c>
      <c r="V28" s="58">
        <f>RANK(U28,$U$5:U$69)</f>
        <v>6</v>
      </c>
      <c r="W28" s="22">
        <v>37</v>
      </c>
      <c r="X28" s="58">
        <f>RANK(W28,$W$5:W$69)</f>
        <v>1</v>
      </c>
      <c r="Y28" s="22">
        <v>45</v>
      </c>
      <c r="Z28" s="58">
        <f>RANK(Y28,$Y$5:Y$69)</f>
        <v>8</v>
      </c>
      <c r="AA28" s="6">
        <f t="shared" si="0"/>
        <v>619</v>
      </c>
      <c r="AB28" s="57">
        <f t="shared" si="1"/>
        <v>41.266666666666666</v>
      </c>
      <c r="AC28" s="57">
        <v>41.485714285714288</v>
      </c>
      <c r="AD28" s="57">
        <f t="shared" si="2"/>
        <v>41.376190476190473</v>
      </c>
      <c r="AE28" s="58">
        <f>RANK(AD28,AD$6:$AD$69,0)</f>
        <v>14</v>
      </c>
    </row>
    <row r="29" spans="1:31" ht="20" customHeight="1">
      <c r="A29" s="46">
        <v>24</v>
      </c>
      <c r="B29" s="8" t="s">
        <v>27</v>
      </c>
      <c r="C29" s="22">
        <v>120</v>
      </c>
      <c r="D29" s="58">
        <f>RANK(C29,C$5:$C$69,0)</f>
        <v>2</v>
      </c>
      <c r="E29" s="22">
        <v>35</v>
      </c>
      <c r="F29" s="58">
        <f>RANK(E29,E$5:$E$69,0)</f>
        <v>35</v>
      </c>
      <c r="G29" s="6">
        <v>35</v>
      </c>
      <c r="H29" s="58">
        <f>RANK(G29,$G$5:G$69)</f>
        <v>9</v>
      </c>
      <c r="I29" s="6">
        <v>34</v>
      </c>
      <c r="J29" s="58">
        <f>RANK(I29,$I$5:I$69)</f>
        <v>19</v>
      </c>
      <c r="K29" s="6">
        <v>130</v>
      </c>
      <c r="L29" s="58">
        <f>RANK(K29,$K$5:K$69)</f>
        <v>11</v>
      </c>
      <c r="M29" s="6">
        <v>25</v>
      </c>
      <c r="N29" s="58">
        <f>RANK(M29,$M$5:M$69)</f>
        <v>14</v>
      </c>
      <c r="O29" s="6">
        <v>14</v>
      </c>
      <c r="P29" s="58">
        <f>RANK(O29,$O$5:O$69)</f>
        <v>40</v>
      </c>
      <c r="Q29" s="6">
        <v>36</v>
      </c>
      <c r="R29" s="58">
        <f>RANK(Q29,$Q$5:Q$69)</f>
        <v>1</v>
      </c>
      <c r="S29" s="22">
        <v>25</v>
      </c>
      <c r="T29" s="58">
        <f>RANK(S29,$S$5:S$69)</f>
        <v>1</v>
      </c>
      <c r="U29" s="22">
        <v>96</v>
      </c>
      <c r="V29" s="58">
        <f>RANK(U29,$U$5:U$69)</f>
        <v>3</v>
      </c>
      <c r="W29" s="22">
        <v>36</v>
      </c>
      <c r="X29" s="58">
        <f>RANK(W29,$W$5:W$69)</f>
        <v>12</v>
      </c>
      <c r="Y29" s="22">
        <v>45</v>
      </c>
      <c r="Z29" s="58">
        <f>RANK(Y29,$Y$5:Y$69)</f>
        <v>8</v>
      </c>
      <c r="AA29" s="6">
        <f t="shared" si="0"/>
        <v>631</v>
      </c>
      <c r="AB29" s="57">
        <f t="shared" si="1"/>
        <v>42.06666666666667</v>
      </c>
      <c r="AC29" s="57">
        <v>39.806349206349203</v>
      </c>
      <c r="AD29" s="57">
        <f t="shared" si="2"/>
        <v>40.936507936507937</v>
      </c>
      <c r="AE29" s="58">
        <f>RANK(AD29,AD$6:$AD$69,0)</f>
        <v>15</v>
      </c>
    </row>
    <row r="30" spans="1:31" ht="20" customHeight="1">
      <c r="A30" s="46">
        <v>25</v>
      </c>
      <c r="B30" s="8" t="s">
        <v>28</v>
      </c>
      <c r="C30" s="22">
        <v>70</v>
      </c>
      <c r="D30" s="58">
        <f>RANK(C30,C$5:$C$69,0)</f>
        <v>36</v>
      </c>
      <c r="E30" s="22">
        <v>36</v>
      </c>
      <c r="F30" s="58">
        <f>RANK(E30,E$5:$E$69,0)</f>
        <v>7</v>
      </c>
      <c r="G30" s="6">
        <v>33</v>
      </c>
      <c r="H30" s="58">
        <f>RANK(G30,$G$5:G$69)</f>
        <v>31</v>
      </c>
      <c r="I30" s="6">
        <v>34</v>
      </c>
      <c r="J30" s="58">
        <f>RANK(I30,$I$5:I$69)</f>
        <v>19</v>
      </c>
      <c r="K30" s="6">
        <v>120</v>
      </c>
      <c r="L30" s="58">
        <f>RANK(K30,$K$5:K$69)</f>
        <v>20</v>
      </c>
      <c r="M30" s="6">
        <v>48</v>
      </c>
      <c r="N30" s="58">
        <f>RANK(M30,$M$5:M$69)</f>
        <v>12</v>
      </c>
      <c r="O30" s="6">
        <v>36</v>
      </c>
      <c r="P30" s="58">
        <f>RANK(O30,$O$5:O$69)</f>
        <v>1</v>
      </c>
      <c r="Q30" s="6">
        <v>35</v>
      </c>
      <c r="R30" s="58">
        <f>RANK(Q30,$Q$5:Q$69)</f>
        <v>21</v>
      </c>
      <c r="S30" s="22">
        <v>25</v>
      </c>
      <c r="T30" s="58">
        <f>RANK(S30,$S$5:S$69)</f>
        <v>1</v>
      </c>
      <c r="U30" s="22">
        <v>94</v>
      </c>
      <c r="V30" s="58">
        <f>RANK(U30,$U$5:U$69)</f>
        <v>15</v>
      </c>
      <c r="W30" s="22">
        <v>35</v>
      </c>
      <c r="X30" s="58">
        <f>RANK(W30,$W$5:W$69)</f>
        <v>17</v>
      </c>
      <c r="Y30" s="22">
        <v>48</v>
      </c>
      <c r="Z30" s="58">
        <f>RANK(Y30,$Y$5:Y$69)</f>
        <v>1</v>
      </c>
      <c r="AA30" s="6">
        <f t="shared" ref="AA30:AA55" si="3">SUM(C30,E30,G30,I30,K30,M30,O30,Q30,S30,U30,W30,Y30)</f>
        <v>614</v>
      </c>
      <c r="AB30" s="57">
        <f t="shared" si="1"/>
        <v>40.93333333333333</v>
      </c>
      <c r="AC30" s="57">
        <v>39.36349206349206</v>
      </c>
      <c r="AD30" s="57">
        <f>SUM(AB30+AC30)/2</f>
        <v>40.148412698412699</v>
      </c>
      <c r="AE30" s="58">
        <f>RANK(AD30,AD$6:$AD$69,0)</f>
        <v>16</v>
      </c>
    </row>
    <row r="31" spans="1:31" ht="20" customHeight="1">
      <c r="A31" s="46">
        <v>26</v>
      </c>
      <c r="B31" s="8" t="s">
        <v>29</v>
      </c>
      <c r="C31" s="22">
        <v>100</v>
      </c>
      <c r="D31" s="58">
        <f>RANK(C31,C$5:$C$69,0)</f>
        <v>17</v>
      </c>
      <c r="E31" s="22">
        <v>37</v>
      </c>
      <c r="F31" s="58">
        <f>RANK(E31,E$5:$E$69,0)</f>
        <v>1</v>
      </c>
      <c r="G31" s="6">
        <v>36</v>
      </c>
      <c r="H31" s="58">
        <f>RANK(G31,$G$5:G$69)</f>
        <v>1</v>
      </c>
      <c r="I31" s="6">
        <v>35</v>
      </c>
      <c r="J31" s="58">
        <f>RANK(I31,$I$5:I$69)</f>
        <v>4</v>
      </c>
      <c r="K31" s="6">
        <v>145</v>
      </c>
      <c r="L31" s="58">
        <f>RANK(K31,$K$5:K$69)</f>
        <v>1</v>
      </c>
      <c r="M31" s="6">
        <v>15</v>
      </c>
      <c r="N31" s="58">
        <f>RANK(M31,$M$5:M$69)</f>
        <v>26</v>
      </c>
      <c r="O31" s="6">
        <v>36</v>
      </c>
      <c r="P31" s="58">
        <f>RANK(O31,$O$5:O$69)</f>
        <v>1</v>
      </c>
      <c r="Q31" s="6">
        <v>36</v>
      </c>
      <c r="R31" s="58">
        <f>RANK(Q31,$Q$5:Q$69)</f>
        <v>1</v>
      </c>
      <c r="S31" s="22">
        <v>25</v>
      </c>
      <c r="T31" s="58">
        <f>RANK(S31,$S$5:S$69)</f>
        <v>1</v>
      </c>
      <c r="U31" s="22">
        <v>96</v>
      </c>
      <c r="V31" s="58">
        <f>RANK(U31,$U$5:U$69)</f>
        <v>3</v>
      </c>
      <c r="W31" s="22">
        <v>37</v>
      </c>
      <c r="X31" s="58">
        <f>RANK(W31,$W$5:W$69)</f>
        <v>1</v>
      </c>
      <c r="Y31" s="22">
        <v>45</v>
      </c>
      <c r="Z31" s="58">
        <f>RANK(Y31,$Y$5:Y$69)</f>
        <v>8</v>
      </c>
      <c r="AA31" s="6">
        <f t="shared" si="3"/>
        <v>643</v>
      </c>
      <c r="AB31" s="57">
        <f t="shared" si="1"/>
        <v>42.866666666666667</v>
      </c>
      <c r="AC31" s="57">
        <v>44.195238095238096</v>
      </c>
      <c r="AD31" s="57">
        <f t="shared" ref="AD31:AD55" si="4">SUM(AB31+AC31)/2</f>
        <v>43.530952380952385</v>
      </c>
      <c r="AE31" s="58">
        <f>RANK(AD31,AD$6:$AD$69,0)</f>
        <v>6</v>
      </c>
    </row>
    <row r="32" spans="1:31" ht="20" customHeight="1">
      <c r="A32" s="46">
        <v>27</v>
      </c>
      <c r="B32" s="8" t="s">
        <v>30</v>
      </c>
      <c r="C32" s="22">
        <v>50</v>
      </c>
      <c r="D32" s="58">
        <f>RANK(C32,C$5:$C$69,0)</f>
        <v>40</v>
      </c>
      <c r="E32" s="22">
        <v>34</v>
      </c>
      <c r="F32" s="58">
        <f>RANK(E32,E$5:$E$69,0)</f>
        <v>36</v>
      </c>
      <c r="G32" s="6">
        <v>23</v>
      </c>
      <c r="H32" s="58">
        <f>RANK(G32,$G$5:G$69)</f>
        <v>46</v>
      </c>
      <c r="I32" s="6">
        <v>33</v>
      </c>
      <c r="J32" s="58">
        <f>RANK(I32,$I$5:I$69)</f>
        <v>36</v>
      </c>
      <c r="K32" s="6">
        <v>100</v>
      </c>
      <c r="L32" s="58">
        <f>RANK(K32,$K$5:K$69)</f>
        <v>27</v>
      </c>
      <c r="M32" s="6">
        <v>10</v>
      </c>
      <c r="N32" s="58">
        <f>RANK(M32,$M$5:M$69)</f>
        <v>39</v>
      </c>
      <c r="O32" s="6">
        <v>35</v>
      </c>
      <c r="P32" s="58">
        <f>RANK(O32,$O$5:O$69)</f>
        <v>17</v>
      </c>
      <c r="Q32" s="6">
        <v>35</v>
      </c>
      <c r="R32" s="58">
        <f>RANK(Q32,$Q$5:Q$69)</f>
        <v>21</v>
      </c>
      <c r="S32" s="22">
        <v>15</v>
      </c>
      <c r="T32" s="58">
        <f>RANK(S32,$S$5:S$69)</f>
        <v>32</v>
      </c>
      <c r="U32" s="6">
        <v>93</v>
      </c>
      <c r="V32" s="58">
        <f>RANK(U32,$U$5:U$69)</f>
        <v>23</v>
      </c>
      <c r="W32" s="22">
        <v>35</v>
      </c>
      <c r="X32" s="58">
        <f>RANK(W32,$W$5:W$69)</f>
        <v>17</v>
      </c>
      <c r="Y32" s="22">
        <v>47</v>
      </c>
      <c r="Z32" s="58">
        <f>RANK(Y32,$Y$5:Y$69)</f>
        <v>2</v>
      </c>
      <c r="AA32" s="6">
        <f t="shared" si="3"/>
        <v>510</v>
      </c>
      <c r="AB32" s="57">
        <f t="shared" si="1"/>
        <v>34</v>
      </c>
      <c r="AC32" s="57">
        <v>28.953968253968252</v>
      </c>
      <c r="AD32" s="57">
        <f t="shared" si="4"/>
        <v>31.476984126984128</v>
      </c>
      <c r="AE32" s="58">
        <f>RANK(AD32,AD$6:$AD$69,0)</f>
        <v>33</v>
      </c>
    </row>
    <row r="33" spans="1:31" ht="20" customHeight="1">
      <c r="A33" s="46">
        <v>28</v>
      </c>
      <c r="B33" s="8" t="s">
        <v>31</v>
      </c>
      <c r="C33" s="22">
        <v>60</v>
      </c>
      <c r="D33" s="58">
        <f>RANK(C33,C$5:$C$69,0)</f>
        <v>39</v>
      </c>
      <c r="E33" s="22">
        <v>0</v>
      </c>
      <c r="F33" s="58">
        <f>RANK(E33,E$5:$E$69,0)</f>
        <v>43</v>
      </c>
      <c r="G33" s="6">
        <v>35</v>
      </c>
      <c r="H33" s="58">
        <f>RANK(G33,$G$5:G$69)</f>
        <v>9</v>
      </c>
      <c r="I33" s="6">
        <v>0</v>
      </c>
      <c r="J33" s="58">
        <f>RANK(I33,$I$5:I$69)</f>
        <v>45</v>
      </c>
      <c r="K33" s="6">
        <v>100</v>
      </c>
      <c r="L33" s="58">
        <f>RANK(K33,$K$5:K$69)</f>
        <v>27</v>
      </c>
      <c r="M33" s="6">
        <v>50</v>
      </c>
      <c r="N33" s="58">
        <f>RANK(M33,$M$5:M$69)</f>
        <v>1</v>
      </c>
      <c r="O33" s="6">
        <v>18</v>
      </c>
      <c r="P33" s="58">
        <f>RANK(O33,$O$5:O$69)</f>
        <v>27</v>
      </c>
      <c r="Q33" s="6">
        <v>31</v>
      </c>
      <c r="R33" s="58">
        <f>RANK(Q33,$Q$5:Q$69)</f>
        <v>40</v>
      </c>
      <c r="S33" s="22">
        <v>0</v>
      </c>
      <c r="T33" s="58">
        <f>RANK(S33,$S$5:S$69)</f>
        <v>41</v>
      </c>
      <c r="U33" s="6">
        <v>91</v>
      </c>
      <c r="V33" s="58">
        <f>RANK(U33,$U$5:U$69)</f>
        <v>33</v>
      </c>
      <c r="W33" s="22">
        <v>0</v>
      </c>
      <c r="X33" s="58">
        <f>RANK(W33,$W$5:W$69)</f>
        <v>40</v>
      </c>
      <c r="Y33" s="22">
        <v>45</v>
      </c>
      <c r="Z33" s="58">
        <f>RANK(Y33,$Y$5:Y$69)</f>
        <v>8</v>
      </c>
      <c r="AA33" s="6">
        <f t="shared" si="3"/>
        <v>430</v>
      </c>
      <c r="AB33" s="57">
        <f t="shared" si="1"/>
        <v>28.666666666666668</v>
      </c>
      <c r="AC33" s="57">
        <v>27.365079365079367</v>
      </c>
      <c r="AD33" s="57">
        <f t="shared" si="4"/>
        <v>28.015873015873019</v>
      </c>
      <c r="AE33" s="58">
        <f>RANK(AD33,AD$6:$AD$69,0)</f>
        <v>41</v>
      </c>
    </row>
    <row r="34" spans="1:31" ht="20" customHeight="1">
      <c r="A34" s="46">
        <v>29</v>
      </c>
      <c r="B34" s="8" t="s">
        <v>32</v>
      </c>
      <c r="C34" s="22">
        <v>80</v>
      </c>
      <c r="D34" s="58">
        <f>RANK(C34,C$5:$C$69,0)</f>
        <v>27</v>
      </c>
      <c r="E34" s="22">
        <v>34</v>
      </c>
      <c r="F34" s="58">
        <f>RANK(E34,E$5:$E$69,0)</f>
        <v>36</v>
      </c>
      <c r="G34" s="6">
        <v>36</v>
      </c>
      <c r="H34" s="58">
        <f>RANK(G34,$G$5:G$69)</f>
        <v>1</v>
      </c>
      <c r="I34" s="6">
        <v>35</v>
      </c>
      <c r="J34" s="58">
        <f>RANK(I34,$I$5:I$69)</f>
        <v>4</v>
      </c>
      <c r="K34" s="6">
        <v>75</v>
      </c>
      <c r="L34" s="58">
        <f>RANK(K34,$K$5:K$69)</f>
        <v>38</v>
      </c>
      <c r="M34" s="6">
        <v>50</v>
      </c>
      <c r="N34" s="58">
        <f>RANK(M34,$M$5:M$69)</f>
        <v>1</v>
      </c>
      <c r="O34" s="6">
        <v>18</v>
      </c>
      <c r="P34" s="58">
        <f>RANK(O34,$O$5:O$69)</f>
        <v>27</v>
      </c>
      <c r="Q34" s="6">
        <v>31</v>
      </c>
      <c r="R34" s="58">
        <f>RANK(Q34,$Q$5:Q$69)</f>
        <v>40</v>
      </c>
      <c r="S34" s="22">
        <v>0</v>
      </c>
      <c r="T34" s="58">
        <f>RANK(S34,$S$5:S$69)</f>
        <v>41</v>
      </c>
      <c r="U34" s="6">
        <v>94</v>
      </c>
      <c r="V34" s="58">
        <f>RANK(U34,$U$5:U$69)</f>
        <v>15</v>
      </c>
      <c r="W34" s="22">
        <v>0</v>
      </c>
      <c r="X34" s="58">
        <f>RANK(W34,$W$5:W$69)</f>
        <v>40</v>
      </c>
      <c r="Y34" s="22">
        <v>45</v>
      </c>
      <c r="Z34" s="58">
        <f>RANK(Y34,$Y$5:Y$69)</f>
        <v>8</v>
      </c>
      <c r="AA34" s="6">
        <f t="shared" si="3"/>
        <v>498</v>
      </c>
      <c r="AB34" s="57">
        <f t="shared" si="1"/>
        <v>33.200000000000003</v>
      </c>
      <c r="AC34" s="57">
        <v>19.761904761904759</v>
      </c>
      <c r="AD34" s="57">
        <f t="shared" si="4"/>
        <v>26.480952380952381</v>
      </c>
      <c r="AE34" s="58">
        <f>RANK(AD34,AD$6:$AD$69,0)</f>
        <v>43</v>
      </c>
    </row>
    <row r="35" spans="1:31" ht="20" customHeight="1">
      <c r="A35" s="46">
        <v>30</v>
      </c>
      <c r="B35" s="8" t="s">
        <v>33</v>
      </c>
      <c r="C35" s="22">
        <v>20</v>
      </c>
      <c r="D35" s="58">
        <f>RANK(C35,C$5:$C$69,0)</f>
        <v>44</v>
      </c>
      <c r="E35" s="22">
        <v>36</v>
      </c>
      <c r="F35" s="58">
        <f>RANK(E35,E$5:$E$69,0)</f>
        <v>7</v>
      </c>
      <c r="G35" s="6">
        <v>36</v>
      </c>
      <c r="H35" s="58">
        <f>RANK(G35,$G$5:G$69)</f>
        <v>1</v>
      </c>
      <c r="I35" s="6">
        <v>35</v>
      </c>
      <c r="J35" s="58">
        <f>RANK(I35,$I$5:I$69)</f>
        <v>4</v>
      </c>
      <c r="K35" s="6">
        <v>75</v>
      </c>
      <c r="L35" s="58">
        <f>RANK(K35,$K$5:K$69)</f>
        <v>38</v>
      </c>
      <c r="M35" s="6">
        <v>10</v>
      </c>
      <c r="N35" s="58">
        <f>RANK(M35,$M$5:M$69)</f>
        <v>39</v>
      </c>
      <c r="O35" s="6">
        <v>18</v>
      </c>
      <c r="P35" s="58">
        <f>RANK(O35,$O$5:O$69)</f>
        <v>27</v>
      </c>
      <c r="Q35" s="6">
        <v>32</v>
      </c>
      <c r="R35" s="58">
        <f>RANK(Q35,$Q$5:Q$69)</f>
        <v>37</v>
      </c>
      <c r="S35" s="22">
        <v>24</v>
      </c>
      <c r="T35" s="58">
        <f>RANK(S35,$S$5:S$69)</f>
        <v>16</v>
      </c>
      <c r="U35" s="6">
        <v>91</v>
      </c>
      <c r="V35" s="58">
        <f>RANK(U35,$U$5:U$69)</f>
        <v>33</v>
      </c>
      <c r="W35" s="22">
        <v>34</v>
      </c>
      <c r="X35" s="58">
        <f>RANK(W35,$W$5:W$69)</f>
        <v>30</v>
      </c>
      <c r="Y35" s="22">
        <v>46</v>
      </c>
      <c r="Z35" s="58">
        <f>RANK(Y35,$Y$5:Y$69)</f>
        <v>5</v>
      </c>
      <c r="AA35" s="6">
        <f t="shared" si="3"/>
        <v>457</v>
      </c>
      <c r="AB35" s="57">
        <f t="shared" si="1"/>
        <v>30.466666666666665</v>
      </c>
      <c r="AC35" s="57">
        <v>20.712698412698412</v>
      </c>
      <c r="AD35" s="57">
        <f t="shared" si="4"/>
        <v>25.589682539682538</v>
      </c>
      <c r="AE35" s="58">
        <f>RANK(AD35,AD$6:$AD$69,0)</f>
        <v>45</v>
      </c>
    </row>
    <row r="36" spans="1:31" ht="20" customHeight="1">
      <c r="A36" s="46">
        <v>31</v>
      </c>
      <c r="B36" s="8" t="s">
        <v>34</v>
      </c>
      <c r="C36" s="22">
        <v>90</v>
      </c>
      <c r="D36" s="58">
        <f>RANK(C36,C$5:$C$69,0)</f>
        <v>21</v>
      </c>
      <c r="E36" s="22">
        <v>36</v>
      </c>
      <c r="F36" s="58">
        <f>RANK(E36,E$5:$E$69,0)</f>
        <v>7</v>
      </c>
      <c r="G36" s="6">
        <v>33</v>
      </c>
      <c r="H36" s="58">
        <f>RANK(G36,$G$5:G$69)</f>
        <v>31</v>
      </c>
      <c r="I36" s="6">
        <v>34</v>
      </c>
      <c r="J36" s="58">
        <f>RANK(I36,$I$5:I$69)</f>
        <v>19</v>
      </c>
      <c r="K36" s="6">
        <v>100</v>
      </c>
      <c r="L36" s="58">
        <f>RANK(K36,$K$5:K$69)</f>
        <v>27</v>
      </c>
      <c r="M36" s="6">
        <v>25</v>
      </c>
      <c r="N36" s="58">
        <f>RANK(M36,$M$5:M$69)</f>
        <v>14</v>
      </c>
      <c r="O36" s="6">
        <v>18</v>
      </c>
      <c r="P36" s="58">
        <f>RANK(O36,$O$5:O$69)</f>
        <v>27</v>
      </c>
      <c r="Q36" s="6">
        <v>32</v>
      </c>
      <c r="R36" s="58">
        <f>RANK(Q36,$Q$5:Q$69)</f>
        <v>37</v>
      </c>
      <c r="S36" s="22">
        <v>25</v>
      </c>
      <c r="T36" s="58">
        <f>RANK(S36,$S$5:S$69)</f>
        <v>1</v>
      </c>
      <c r="U36" s="6">
        <v>90</v>
      </c>
      <c r="V36" s="58">
        <f>RANK(U36,$U$5:U$69)</f>
        <v>39</v>
      </c>
      <c r="W36" s="22">
        <v>34</v>
      </c>
      <c r="X36" s="58">
        <f>RANK(W36,$W$5:W$69)</f>
        <v>30</v>
      </c>
      <c r="Y36" s="22">
        <v>45</v>
      </c>
      <c r="Z36" s="58">
        <f>RANK(Y36,$Y$5:Y$69)</f>
        <v>8</v>
      </c>
      <c r="AA36" s="6">
        <f t="shared" si="3"/>
        <v>562</v>
      </c>
      <c r="AB36" s="57">
        <f t="shared" si="1"/>
        <v>37.466666666666669</v>
      </c>
      <c r="AC36" s="57">
        <v>27.858730158730157</v>
      </c>
      <c r="AD36" s="57">
        <f t="shared" si="4"/>
        <v>32.662698412698411</v>
      </c>
      <c r="AE36" s="58">
        <f>RANK(AD36,AD$6:$AD$69,0)</f>
        <v>30</v>
      </c>
    </row>
    <row r="37" spans="1:31" ht="20" customHeight="1">
      <c r="A37" s="46">
        <v>32</v>
      </c>
      <c r="B37" s="8" t="s">
        <v>35</v>
      </c>
      <c r="C37" s="22">
        <v>80</v>
      </c>
      <c r="D37" s="58">
        <f>RANK(C37,C$5:$C$69,0)</f>
        <v>27</v>
      </c>
      <c r="E37" s="22">
        <v>0</v>
      </c>
      <c r="F37" s="58">
        <f>RANK(E37,E$5:$E$69,0)</f>
        <v>43</v>
      </c>
      <c r="G37" s="6">
        <v>33</v>
      </c>
      <c r="H37" s="58">
        <f>RANK(G37,$G$5:G$69)</f>
        <v>31</v>
      </c>
      <c r="I37" s="6">
        <v>34</v>
      </c>
      <c r="J37" s="58">
        <f>RANK(I37,$I$5:I$69)</f>
        <v>19</v>
      </c>
      <c r="K37" s="6">
        <v>120</v>
      </c>
      <c r="L37" s="58">
        <f>RANK(K37,$K$5:K$69)</f>
        <v>20</v>
      </c>
      <c r="M37" s="6">
        <v>10</v>
      </c>
      <c r="N37" s="58">
        <f>RANK(M37,$M$5:M$69)</f>
        <v>39</v>
      </c>
      <c r="O37" s="6">
        <v>18</v>
      </c>
      <c r="P37" s="58">
        <f>RANK(O37,$O$5:O$69)</f>
        <v>27</v>
      </c>
      <c r="Q37" s="6">
        <v>30</v>
      </c>
      <c r="R37" s="58">
        <f>RANK(Q37,$Q$5:Q$69)</f>
        <v>46</v>
      </c>
      <c r="S37" s="22">
        <v>0</v>
      </c>
      <c r="T37" s="58">
        <f>RANK(S37,$S$5:S$69)</f>
        <v>41</v>
      </c>
      <c r="U37" s="6">
        <v>84</v>
      </c>
      <c r="V37" s="58">
        <f>RANK(U37,$U$5:U$69)</f>
        <v>43</v>
      </c>
      <c r="W37" s="22">
        <v>0</v>
      </c>
      <c r="X37" s="58">
        <f>RANK(W37,$W$5:W$69)</f>
        <v>40</v>
      </c>
      <c r="Y37" s="22">
        <v>45</v>
      </c>
      <c r="Z37" s="58">
        <f>RANK(Y37,$Y$5:Y$69)</f>
        <v>8</v>
      </c>
      <c r="AA37" s="6">
        <f t="shared" si="3"/>
        <v>454</v>
      </c>
      <c r="AB37" s="57">
        <f t="shared" si="1"/>
        <v>30.266666666666666</v>
      </c>
      <c r="AC37" s="57">
        <v>28.93809523809524</v>
      </c>
      <c r="AD37" s="57">
        <f t="shared" si="4"/>
        <v>29.602380952380955</v>
      </c>
      <c r="AE37" s="58">
        <f>RANK(AD37,AD$6:$AD$69,0)</f>
        <v>40</v>
      </c>
    </row>
    <row r="38" spans="1:31" ht="20" customHeight="1">
      <c r="A38" s="46">
        <v>33</v>
      </c>
      <c r="B38" s="8" t="s">
        <v>36</v>
      </c>
      <c r="C38" s="22">
        <v>120</v>
      </c>
      <c r="D38" s="58">
        <f>RANK(C38,C$5:$C$69,0)</f>
        <v>2</v>
      </c>
      <c r="E38" s="22">
        <v>36</v>
      </c>
      <c r="F38" s="58">
        <f>RANK(E38,E$5:$E$69,0)</f>
        <v>7</v>
      </c>
      <c r="G38" s="6">
        <v>35</v>
      </c>
      <c r="H38" s="58">
        <f>RANK(G38,$G$5:G$69)</f>
        <v>9</v>
      </c>
      <c r="I38" s="6">
        <v>36</v>
      </c>
      <c r="J38" s="58">
        <f>RANK(I38,$I$5:I$69)</f>
        <v>2</v>
      </c>
      <c r="K38" s="6">
        <v>140</v>
      </c>
      <c r="L38" s="58">
        <f>RANK(K38,$K$5:K$69)</f>
        <v>6</v>
      </c>
      <c r="M38" s="6">
        <v>25</v>
      </c>
      <c r="N38" s="58">
        <f>RANK(M38,$M$5:M$69)</f>
        <v>14</v>
      </c>
      <c r="O38" s="6">
        <v>13</v>
      </c>
      <c r="P38" s="58">
        <f>RANK(O38,$O$5:O$69)</f>
        <v>41</v>
      </c>
      <c r="Q38" s="6">
        <v>36</v>
      </c>
      <c r="R38" s="58">
        <f>RANK(Q38,$Q$5:Q$69)</f>
        <v>1</v>
      </c>
      <c r="S38" s="22">
        <v>24</v>
      </c>
      <c r="T38" s="58">
        <f>RANK(S38,$S$5:S$69)</f>
        <v>16</v>
      </c>
      <c r="U38" s="6">
        <v>98</v>
      </c>
      <c r="V38" s="58">
        <f>RANK(U38,$U$5:U$69)</f>
        <v>1</v>
      </c>
      <c r="W38" s="22">
        <v>36</v>
      </c>
      <c r="X38" s="58">
        <f>RANK(W38,$W$5:W$69)</f>
        <v>12</v>
      </c>
      <c r="Y38" s="22">
        <v>45</v>
      </c>
      <c r="Z38" s="58">
        <f>RANK(Y38,$Y$5:Y$69)</f>
        <v>8</v>
      </c>
      <c r="AA38" s="6">
        <f t="shared" si="3"/>
        <v>644</v>
      </c>
      <c r="AB38" s="57">
        <f t="shared" si="1"/>
        <v>42.93333333333333</v>
      </c>
      <c r="AC38" s="57">
        <v>42.471428571428568</v>
      </c>
      <c r="AD38" s="57">
        <f t="shared" si="4"/>
        <v>42.702380952380949</v>
      </c>
      <c r="AE38" s="58">
        <f>RANK(AD38,AD$6:$AD$69,0)</f>
        <v>8</v>
      </c>
    </row>
    <row r="39" spans="1:31" ht="20" customHeight="1">
      <c r="A39" s="46">
        <v>34</v>
      </c>
      <c r="B39" s="8" t="s">
        <v>37</v>
      </c>
      <c r="C39" s="22">
        <v>100</v>
      </c>
      <c r="D39" s="58">
        <f>RANK(C39,C$5:$C$69,0)</f>
        <v>17</v>
      </c>
      <c r="E39" s="22">
        <v>36</v>
      </c>
      <c r="F39" s="58">
        <f>RANK(E39,E$5:$E$69,0)</f>
        <v>7</v>
      </c>
      <c r="G39" s="6">
        <v>27</v>
      </c>
      <c r="H39" s="58">
        <f>RANK(G39,$G$5:G$69)</f>
        <v>44</v>
      </c>
      <c r="I39" s="6">
        <v>35</v>
      </c>
      <c r="J39" s="58">
        <f>RANK(I39,$I$5:I$69)</f>
        <v>4</v>
      </c>
      <c r="K39" s="6">
        <v>75</v>
      </c>
      <c r="L39" s="58">
        <f>RANK(K39,$K$5:K$69)</f>
        <v>38</v>
      </c>
      <c r="M39" s="6">
        <v>15</v>
      </c>
      <c r="N39" s="58">
        <f>RANK(M39,$M$5:M$69)</f>
        <v>26</v>
      </c>
      <c r="O39" s="6">
        <v>18</v>
      </c>
      <c r="P39" s="58">
        <f>RANK(O39,$O$5:O$69)</f>
        <v>27</v>
      </c>
      <c r="Q39" s="6">
        <v>34</v>
      </c>
      <c r="R39" s="58">
        <f>RANK(Q39,$Q$5:Q$69)</f>
        <v>29</v>
      </c>
      <c r="S39" s="22">
        <v>14</v>
      </c>
      <c r="T39" s="58">
        <f>RANK(S39,$S$5:S$69)</f>
        <v>38</v>
      </c>
      <c r="U39" s="6">
        <v>93</v>
      </c>
      <c r="V39" s="58">
        <f>RANK(U39,$U$5:U$69)</f>
        <v>23</v>
      </c>
      <c r="W39" s="22">
        <v>35</v>
      </c>
      <c r="X39" s="58">
        <f>RANK(W39,$W$5:W$69)</f>
        <v>17</v>
      </c>
      <c r="Y39" s="22">
        <v>45</v>
      </c>
      <c r="Z39" s="58">
        <f>RANK(Y39,$Y$5:Y$69)</f>
        <v>8</v>
      </c>
      <c r="AA39" s="6">
        <f t="shared" si="3"/>
        <v>527</v>
      </c>
      <c r="AB39" s="57">
        <f t="shared" si="1"/>
        <v>35.133333333333333</v>
      </c>
      <c r="AC39" s="57">
        <v>27.638095238095236</v>
      </c>
      <c r="AD39" s="57">
        <f t="shared" si="4"/>
        <v>31.385714285714286</v>
      </c>
      <c r="AE39" s="58">
        <f>RANK(AD39,AD$6:$AD$69,0)</f>
        <v>35</v>
      </c>
    </row>
    <row r="40" spans="1:31" ht="20" customHeight="1">
      <c r="A40" s="46">
        <v>35</v>
      </c>
      <c r="B40" s="8" t="s">
        <v>38</v>
      </c>
      <c r="C40" s="22">
        <v>90</v>
      </c>
      <c r="D40" s="58">
        <f>RANK(C40,C$5:$C$69,0)</f>
        <v>21</v>
      </c>
      <c r="E40" s="22">
        <v>34</v>
      </c>
      <c r="F40" s="58">
        <f>RANK(E40,E$5:$E$69,0)</f>
        <v>36</v>
      </c>
      <c r="G40" s="6">
        <v>26</v>
      </c>
      <c r="H40" s="58">
        <f>RANK(G40,$G$5:G$69)</f>
        <v>45</v>
      </c>
      <c r="I40" s="6">
        <v>34</v>
      </c>
      <c r="J40" s="58">
        <f>RANK(I40,$I$5:I$69)</f>
        <v>19</v>
      </c>
      <c r="K40" s="6">
        <v>100</v>
      </c>
      <c r="L40" s="58">
        <f>RANK(K40,$K$5:K$69)</f>
        <v>27</v>
      </c>
      <c r="M40" s="6">
        <v>15</v>
      </c>
      <c r="N40" s="58">
        <f>RANK(M40,$M$5:M$69)</f>
        <v>26</v>
      </c>
      <c r="O40" s="6">
        <v>7</v>
      </c>
      <c r="P40" s="58">
        <f>RANK(O40,$O$5:O$69)</f>
        <v>47</v>
      </c>
      <c r="Q40" s="6">
        <v>34</v>
      </c>
      <c r="R40" s="58">
        <f>RANK(Q40,$Q$5:Q$69)</f>
        <v>29</v>
      </c>
      <c r="S40" s="22">
        <v>15</v>
      </c>
      <c r="T40" s="58">
        <f>RANK(S40,$S$5:S$69)</f>
        <v>32</v>
      </c>
      <c r="U40" s="6">
        <v>90</v>
      </c>
      <c r="V40" s="58">
        <f>RANK(U40,$U$5:U$69)</f>
        <v>39</v>
      </c>
      <c r="W40" s="22">
        <v>34</v>
      </c>
      <c r="X40" s="58">
        <f>RANK(W40,$W$5:W$69)</f>
        <v>30</v>
      </c>
      <c r="Y40" s="22">
        <v>45</v>
      </c>
      <c r="Z40" s="58">
        <f>RANK(Y40,$Y$5:Y$69)</f>
        <v>8</v>
      </c>
      <c r="AA40" s="6">
        <f t="shared" si="3"/>
        <v>524</v>
      </c>
      <c r="AB40" s="57">
        <f t="shared" si="1"/>
        <v>34.93333333333333</v>
      </c>
      <c r="AC40" s="57">
        <v>34.807936507936503</v>
      </c>
      <c r="AD40" s="57">
        <f t="shared" si="4"/>
        <v>34.870634920634913</v>
      </c>
      <c r="AE40" s="58">
        <f>RANK(AD40,AD$6:$AD$69,0)</f>
        <v>25</v>
      </c>
    </row>
    <row r="41" spans="1:31" ht="20" customHeight="1">
      <c r="A41" s="46">
        <v>36</v>
      </c>
      <c r="B41" s="8" t="s">
        <v>39</v>
      </c>
      <c r="C41" s="22">
        <v>0</v>
      </c>
      <c r="D41" s="58">
        <f>RANK(C41,C$5:$C$69,0)</f>
        <v>47</v>
      </c>
      <c r="E41" s="22">
        <v>0</v>
      </c>
      <c r="F41" s="58">
        <f>RANK(E41,E$5:$E$69,0)</f>
        <v>43</v>
      </c>
      <c r="G41" s="6">
        <v>0</v>
      </c>
      <c r="H41" s="58">
        <f>RANK(G41,$G$5:G$69)</f>
        <v>47</v>
      </c>
      <c r="I41" s="6">
        <v>0</v>
      </c>
      <c r="J41" s="58">
        <f>RANK(I41,$I$5:I$69)</f>
        <v>45</v>
      </c>
      <c r="K41" s="6">
        <v>0</v>
      </c>
      <c r="L41" s="58">
        <f>RANK(K41,$K$5:K$69)</f>
        <v>48</v>
      </c>
      <c r="M41" s="6">
        <v>0</v>
      </c>
      <c r="N41" s="58">
        <f>RANK(M41,$M$5:M$69)</f>
        <v>47</v>
      </c>
      <c r="O41" s="6">
        <v>0</v>
      </c>
      <c r="P41" s="58">
        <f>RANK(O41,$O$5:O$69)</f>
        <v>48</v>
      </c>
      <c r="Q41" s="6">
        <v>0</v>
      </c>
      <c r="R41" s="58">
        <f>RANK(Q41,$Q$5:Q$69)</f>
        <v>48</v>
      </c>
      <c r="S41" s="22">
        <v>0</v>
      </c>
      <c r="T41" s="58">
        <f>RANK(S41,$S$5:S$69)</f>
        <v>41</v>
      </c>
      <c r="U41" s="6">
        <v>0</v>
      </c>
      <c r="V41" s="58">
        <f>RANK(U41,$U$5:U$69)</f>
        <v>45</v>
      </c>
      <c r="W41" s="22">
        <v>0</v>
      </c>
      <c r="X41" s="58">
        <f>RANK(W41,$W$5:W$69)</f>
        <v>40</v>
      </c>
      <c r="Y41" s="22">
        <v>0</v>
      </c>
      <c r="Z41" s="58">
        <f>RANK(Y41,$Y$5:Y$69)</f>
        <v>48</v>
      </c>
      <c r="AA41" s="6">
        <f t="shared" si="3"/>
        <v>0</v>
      </c>
      <c r="AB41" s="57">
        <f t="shared" si="1"/>
        <v>0</v>
      </c>
      <c r="AC41" s="57">
        <v>0</v>
      </c>
      <c r="AD41" s="57">
        <f t="shared" si="4"/>
        <v>0</v>
      </c>
      <c r="AE41" s="58">
        <f>RANK(AD41,AD$6:$AD$69,0)</f>
        <v>48</v>
      </c>
    </row>
    <row r="42" spans="1:31" ht="20" customHeight="1">
      <c r="A42" s="46">
        <v>37</v>
      </c>
      <c r="B42" s="8" t="s">
        <v>40</v>
      </c>
      <c r="C42" s="22">
        <v>100</v>
      </c>
      <c r="D42" s="58">
        <f>RANK(C42,C$5:$C$69,0)</f>
        <v>17</v>
      </c>
      <c r="E42" s="22">
        <v>36</v>
      </c>
      <c r="F42" s="58">
        <f>RANK(E42,E$5:$E$69,0)</f>
        <v>7</v>
      </c>
      <c r="G42" s="6">
        <v>33</v>
      </c>
      <c r="H42" s="58">
        <f>RANK(G42,$G$5:G$69)</f>
        <v>31</v>
      </c>
      <c r="I42" s="6">
        <v>33</v>
      </c>
      <c r="J42" s="58">
        <f>RANK(I42,$I$5:I$69)</f>
        <v>36</v>
      </c>
      <c r="K42" s="6">
        <v>130</v>
      </c>
      <c r="L42" s="58">
        <f>RANK(K42,$K$5:K$69)</f>
        <v>11</v>
      </c>
      <c r="M42" s="6">
        <v>15</v>
      </c>
      <c r="N42" s="58">
        <f>RANK(M42,$M$5:M$69)</f>
        <v>26</v>
      </c>
      <c r="O42" s="6">
        <v>17</v>
      </c>
      <c r="P42" s="58">
        <f>RANK(O42,$O$5:O$69)</f>
        <v>37</v>
      </c>
      <c r="Q42" s="6">
        <v>34</v>
      </c>
      <c r="R42" s="58">
        <f>RANK(Q42,$Q$5:Q$69)</f>
        <v>29</v>
      </c>
      <c r="S42" s="22">
        <v>15</v>
      </c>
      <c r="T42" s="58">
        <f>RANK(S42,$S$5:S$69)</f>
        <v>32</v>
      </c>
      <c r="U42" s="6">
        <v>94</v>
      </c>
      <c r="V42" s="58">
        <f>RANK(U42,$U$5:U$69)</f>
        <v>15</v>
      </c>
      <c r="W42" s="22">
        <v>35</v>
      </c>
      <c r="X42" s="58">
        <f>RANK(W42,$W$5:W$69)</f>
        <v>17</v>
      </c>
      <c r="Y42" s="22">
        <v>45</v>
      </c>
      <c r="Z42" s="58">
        <f>RANK(Y42,$Y$5:Y$69)</f>
        <v>8</v>
      </c>
      <c r="AA42" s="6">
        <f t="shared" si="3"/>
        <v>587</v>
      </c>
      <c r="AB42" s="57">
        <f t="shared" si="1"/>
        <v>39.133333333333333</v>
      </c>
      <c r="AC42" s="57">
        <v>37.211111111111109</v>
      </c>
      <c r="AD42" s="57">
        <f t="shared" si="4"/>
        <v>38.172222222222217</v>
      </c>
      <c r="AE42" s="58">
        <f>RANK(AD42,AD$6:$AD$69,0)</f>
        <v>18</v>
      </c>
    </row>
    <row r="43" spans="1:31" ht="20" customHeight="1">
      <c r="A43" s="46">
        <v>38</v>
      </c>
      <c r="B43" s="8" t="s">
        <v>41</v>
      </c>
      <c r="C43" s="22">
        <v>90</v>
      </c>
      <c r="D43" s="58">
        <f>RANK(C43,C$5:$C$69,0)</f>
        <v>21</v>
      </c>
      <c r="E43" s="22">
        <v>36</v>
      </c>
      <c r="F43" s="58">
        <f>RANK(E43,E$5:$E$69,0)</f>
        <v>7</v>
      </c>
      <c r="G43" s="6">
        <v>33</v>
      </c>
      <c r="H43" s="58">
        <f>RANK(G43,$G$5:G$69)</f>
        <v>31</v>
      </c>
      <c r="I43" s="6">
        <v>34</v>
      </c>
      <c r="J43" s="58">
        <f>RANK(I43,$I$5:I$69)</f>
        <v>19</v>
      </c>
      <c r="K43" s="6">
        <v>90</v>
      </c>
      <c r="L43" s="58">
        <f>RANK(K43,$K$5:K$69)</f>
        <v>37</v>
      </c>
      <c r="M43" s="6">
        <v>15</v>
      </c>
      <c r="N43" s="58">
        <f>RANK(M43,$M$5:M$69)</f>
        <v>26</v>
      </c>
      <c r="O43" s="6">
        <v>20</v>
      </c>
      <c r="P43" s="58">
        <f>RANK(O43,$O$5:O$69)</f>
        <v>20</v>
      </c>
      <c r="Q43" s="6">
        <v>33</v>
      </c>
      <c r="R43" s="58">
        <f>RANK(Q43,$Q$5:Q$69)</f>
        <v>35</v>
      </c>
      <c r="S43" s="22">
        <v>25</v>
      </c>
      <c r="T43" s="58">
        <f>RANK(S43,$S$5:S$69)</f>
        <v>1</v>
      </c>
      <c r="U43" s="6">
        <v>94</v>
      </c>
      <c r="V43" s="58">
        <f>RANK(U43,$U$5:U$69)</f>
        <v>15</v>
      </c>
      <c r="W43" s="22">
        <v>35</v>
      </c>
      <c r="X43" s="58">
        <f>RANK(W43,$W$5:W$69)</f>
        <v>17</v>
      </c>
      <c r="Y43" s="22">
        <v>45</v>
      </c>
      <c r="Z43" s="58">
        <f>RANK(Y43,$Y$5:Y$69)</f>
        <v>8</v>
      </c>
      <c r="AA43" s="6">
        <f t="shared" si="3"/>
        <v>550</v>
      </c>
      <c r="AB43" s="57">
        <f t="shared" si="1"/>
        <v>36.666666666666664</v>
      </c>
      <c r="AC43" s="57">
        <v>25.120634920634924</v>
      </c>
      <c r="AD43" s="57">
        <f t="shared" si="4"/>
        <v>30.893650793650792</v>
      </c>
      <c r="AE43" s="58">
        <f>RANK(AD43,AD$6:$AD$69,0)</f>
        <v>37</v>
      </c>
    </row>
    <row r="44" spans="1:31" ht="20" customHeight="1">
      <c r="A44" s="46">
        <v>39</v>
      </c>
      <c r="B44" s="8" t="s">
        <v>42</v>
      </c>
      <c r="C44" s="22">
        <v>120</v>
      </c>
      <c r="D44" s="58">
        <f>RANK(C44,C$5:$C$69,0)</f>
        <v>2</v>
      </c>
      <c r="E44" s="22">
        <v>37</v>
      </c>
      <c r="F44" s="58">
        <f>RANK(E44,E$5:$E$69,0)</f>
        <v>1</v>
      </c>
      <c r="G44" s="6">
        <v>35</v>
      </c>
      <c r="H44" s="58">
        <f>RANK(G44,$G$5:G$69)</f>
        <v>9</v>
      </c>
      <c r="I44" s="6">
        <v>34</v>
      </c>
      <c r="J44" s="58">
        <f>RANK(I44,$I$5:I$69)</f>
        <v>19</v>
      </c>
      <c r="K44" s="6">
        <v>145</v>
      </c>
      <c r="L44" s="58">
        <f>RANK(K44,$K$5:K$69)</f>
        <v>1</v>
      </c>
      <c r="M44" s="6">
        <v>50</v>
      </c>
      <c r="N44" s="58">
        <f>RANK(M44,$M$5:M$69)</f>
        <v>1</v>
      </c>
      <c r="O44" s="6">
        <v>36</v>
      </c>
      <c r="P44" s="58">
        <f>RANK(O44,$O$5:O$69)</f>
        <v>1</v>
      </c>
      <c r="Q44" s="6">
        <v>36</v>
      </c>
      <c r="R44" s="58">
        <f>RANK(Q44,$Q$5:Q$69)</f>
        <v>1</v>
      </c>
      <c r="S44" s="22">
        <v>24</v>
      </c>
      <c r="T44" s="58">
        <f>RANK(S44,$S$5:S$69)</f>
        <v>16</v>
      </c>
      <c r="U44" s="6">
        <v>94</v>
      </c>
      <c r="V44" s="58">
        <f>RANK(U44,$U$5:U$69)</f>
        <v>15</v>
      </c>
      <c r="W44" s="22">
        <v>37</v>
      </c>
      <c r="X44" s="58">
        <f>RANK(W44,$W$5:W$69)</f>
        <v>1</v>
      </c>
      <c r="Y44" s="22">
        <v>45</v>
      </c>
      <c r="Z44" s="58">
        <f>RANK(Y44,$Y$5:Y$69)</f>
        <v>8</v>
      </c>
      <c r="AA44" s="6">
        <f t="shared" si="3"/>
        <v>693</v>
      </c>
      <c r="AB44" s="57">
        <f t="shared" si="1"/>
        <v>46.2</v>
      </c>
      <c r="AC44" s="57">
        <v>42.523809523809518</v>
      </c>
      <c r="AD44" s="57">
        <f t="shared" si="4"/>
        <v>44.361904761904761</v>
      </c>
      <c r="AE44" s="58">
        <f>RANK(AD44,AD$6:$AD$69,0)</f>
        <v>3</v>
      </c>
    </row>
    <row r="45" spans="1:31" ht="20" customHeight="1">
      <c r="A45" s="46">
        <v>40</v>
      </c>
      <c r="B45" s="8" t="s">
        <v>43</v>
      </c>
      <c r="C45" s="22">
        <v>120</v>
      </c>
      <c r="D45" s="58">
        <f>RANK(C45,C$5:$C$69,0)</f>
        <v>2</v>
      </c>
      <c r="E45" s="22">
        <v>36</v>
      </c>
      <c r="F45" s="58">
        <f>RANK(E45,E$5:$E$69,0)</f>
        <v>7</v>
      </c>
      <c r="G45" s="6">
        <v>35</v>
      </c>
      <c r="H45" s="58">
        <f>RANK(G45,$G$5:G$69)</f>
        <v>9</v>
      </c>
      <c r="I45" s="6">
        <v>35</v>
      </c>
      <c r="J45" s="58">
        <f>RANK(I45,$I$5:I$69)</f>
        <v>4</v>
      </c>
      <c r="K45" s="6">
        <v>140</v>
      </c>
      <c r="L45" s="58">
        <f>RANK(K45,$K$5:K$69)</f>
        <v>6</v>
      </c>
      <c r="M45" s="6">
        <v>25</v>
      </c>
      <c r="N45" s="58">
        <f>RANK(M45,$M$5:M$69)</f>
        <v>14</v>
      </c>
      <c r="O45" s="6">
        <v>18</v>
      </c>
      <c r="P45" s="58">
        <f>RANK(O45,$O$5:O$69)</f>
        <v>27</v>
      </c>
      <c r="Q45" s="6">
        <v>36</v>
      </c>
      <c r="R45" s="58">
        <f>RANK(Q45,$Q$5:Q$69)</f>
        <v>1</v>
      </c>
      <c r="S45" s="22">
        <v>25</v>
      </c>
      <c r="T45" s="58">
        <f>RANK(S45,$S$5:S$69)</f>
        <v>1</v>
      </c>
      <c r="U45" s="6">
        <v>97</v>
      </c>
      <c r="V45" s="58">
        <f>RANK(U45,$U$5:U$69)</f>
        <v>2</v>
      </c>
      <c r="W45" s="22">
        <v>36</v>
      </c>
      <c r="X45" s="58">
        <f>RANK(W45,$W$5:W$69)</f>
        <v>12</v>
      </c>
      <c r="Y45" s="22">
        <v>45</v>
      </c>
      <c r="Z45" s="58">
        <f>RANK(Y45,$Y$5:Y$69)</f>
        <v>8</v>
      </c>
      <c r="AA45" s="6">
        <f t="shared" si="3"/>
        <v>648</v>
      </c>
      <c r="AB45" s="57">
        <f t="shared" si="1"/>
        <v>43.2</v>
      </c>
      <c r="AC45" s="57">
        <v>41.190476190476183</v>
      </c>
      <c r="AD45" s="57">
        <f t="shared" si="4"/>
        <v>42.195238095238096</v>
      </c>
      <c r="AE45" s="58">
        <f>RANK(AD45,AD$6:$AD$69,0)</f>
        <v>12</v>
      </c>
    </row>
    <row r="46" spans="1:31" ht="20" customHeight="1">
      <c r="A46" s="46">
        <v>41</v>
      </c>
      <c r="B46" s="8" t="s">
        <v>44</v>
      </c>
      <c r="C46" s="22">
        <v>0</v>
      </c>
      <c r="D46" s="58">
        <f>RANK(C46,C$5:$C$69,0)</f>
        <v>47</v>
      </c>
      <c r="E46" s="22">
        <v>0</v>
      </c>
      <c r="F46" s="58">
        <f>RANK(E46,E$5:$E$69,0)</f>
        <v>43</v>
      </c>
      <c r="G46" s="6">
        <v>33</v>
      </c>
      <c r="H46" s="58">
        <f>RANK(G46,$G$5:G$69)</f>
        <v>31</v>
      </c>
      <c r="I46" s="6">
        <v>0</v>
      </c>
      <c r="J46" s="58">
        <f>RANK(I46,$I$5:I$69)</f>
        <v>45</v>
      </c>
      <c r="K46" s="6">
        <v>75</v>
      </c>
      <c r="L46" s="58">
        <f>RANK(K46,$K$5:K$69)</f>
        <v>38</v>
      </c>
      <c r="M46" s="6">
        <v>10</v>
      </c>
      <c r="N46" s="58">
        <f>RANK(M46,$M$5:M$69)</f>
        <v>39</v>
      </c>
      <c r="O46" s="6">
        <v>17</v>
      </c>
      <c r="P46" s="58">
        <f>RANK(O46,$O$5:O$69)</f>
        <v>37</v>
      </c>
      <c r="Q46" s="6">
        <v>31</v>
      </c>
      <c r="R46" s="58">
        <f>RANK(Q46,$Q$5:Q$69)</f>
        <v>40</v>
      </c>
      <c r="S46" s="22">
        <v>0</v>
      </c>
      <c r="T46" s="58">
        <f>RANK(S46,$S$5:S$69)</f>
        <v>41</v>
      </c>
      <c r="U46" s="6">
        <v>0</v>
      </c>
      <c r="V46" s="58">
        <f>RANK(U46,$U$5:U$69)</f>
        <v>45</v>
      </c>
      <c r="W46" s="22">
        <v>0</v>
      </c>
      <c r="X46" s="58">
        <f>RANK(W46,$W$5:W$69)</f>
        <v>40</v>
      </c>
      <c r="Y46" s="22">
        <v>45</v>
      </c>
      <c r="Z46" s="58">
        <f>RANK(Y46,$Y$5:Y$69)</f>
        <v>8</v>
      </c>
      <c r="AA46" s="6">
        <f t="shared" si="3"/>
        <v>211</v>
      </c>
      <c r="AB46" s="57">
        <f t="shared" si="1"/>
        <v>14.066666666666666</v>
      </c>
      <c r="AC46" s="57">
        <v>11.02222222222222</v>
      </c>
      <c r="AD46" s="57">
        <f t="shared" si="4"/>
        <v>12.544444444444444</v>
      </c>
      <c r="AE46" s="58">
        <f>RANK(AD46,AD$6:$AD$69,0)</f>
        <v>47</v>
      </c>
    </row>
    <row r="47" spans="1:31" ht="20" customHeight="1">
      <c r="A47" s="46">
        <v>42</v>
      </c>
      <c r="B47" s="8" t="s">
        <v>45</v>
      </c>
      <c r="C47" s="22">
        <v>90</v>
      </c>
      <c r="D47" s="58">
        <f>RANK(C47,C$5:$C$69,0)</f>
        <v>21</v>
      </c>
      <c r="E47" s="22">
        <v>36</v>
      </c>
      <c r="F47" s="58">
        <f>RANK(E47,E$5:$E$69,0)</f>
        <v>7</v>
      </c>
      <c r="G47" s="6">
        <v>36</v>
      </c>
      <c r="H47" s="58">
        <f>RANK(G47,$G$5:G$69)</f>
        <v>1</v>
      </c>
      <c r="I47" s="6">
        <v>35</v>
      </c>
      <c r="J47" s="58">
        <f>RANK(I47,$I$5:I$69)</f>
        <v>4</v>
      </c>
      <c r="K47" s="6">
        <v>75</v>
      </c>
      <c r="L47" s="58">
        <f>RANK(K47,$K$5:K$69)</f>
        <v>38</v>
      </c>
      <c r="M47" s="6">
        <v>15</v>
      </c>
      <c r="N47" s="58">
        <f>RANK(M47,$M$5:M$69)</f>
        <v>26</v>
      </c>
      <c r="O47" s="6">
        <v>18</v>
      </c>
      <c r="P47" s="58">
        <f>RANK(O47,$O$5:O$69)</f>
        <v>27</v>
      </c>
      <c r="Q47" s="6">
        <v>36</v>
      </c>
      <c r="R47" s="58">
        <f>RANK(Q47,$Q$5:Q$69)</f>
        <v>1</v>
      </c>
      <c r="S47" s="22">
        <v>24</v>
      </c>
      <c r="T47" s="58">
        <f>RANK(S47,$S$5:S$69)</f>
        <v>16</v>
      </c>
      <c r="U47" s="6">
        <v>85</v>
      </c>
      <c r="V47" s="58">
        <f>RANK(U47,$U$5:U$69)</f>
        <v>42</v>
      </c>
      <c r="W47" s="22">
        <v>34</v>
      </c>
      <c r="X47" s="58">
        <f>RANK(W47,$W$5:W$69)</f>
        <v>30</v>
      </c>
      <c r="Y47" s="22">
        <v>45</v>
      </c>
      <c r="Z47" s="58">
        <f>RANK(Y47,$Y$5:Y$69)</f>
        <v>8</v>
      </c>
      <c r="AA47" s="6">
        <f t="shared" si="3"/>
        <v>529</v>
      </c>
      <c r="AB47" s="57">
        <f t="shared" si="1"/>
        <v>35.266666666666666</v>
      </c>
      <c r="AC47" s="57">
        <v>32.19047619047619</v>
      </c>
      <c r="AD47" s="57">
        <f t="shared" si="4"/>
        <v>33.728571428571428</v>
      </c>
      <c r="AE47" s="58">
        <f>RANK(AD47,AD$6:$AD$69,0)</f>
        <v>28</v>
      </c>
    </row>
    <row r="48" spans="1:31" ht="20" customHeight="1">
      <c r="A48" s="46">
        <v>43</v>
      </c>
      <c r="B48" s="8" t="s">
        <v>46</v>
      </c>
      <c r="C48" s="22">
        <v>80</v>
      </c>
      <c r="D48" s="58">
        <f>RANK(C48,C$5:$C$69,0)</f>
        <v>27</v>
      </c>
      <c r="E48" s="22">
        <v>36</v>
      </c>
      <c r="F48" s="58">
        <f>RANK(E48,E$5:$E$69,0)</f>
        <v>7</v>
      </c>
      <c r="G48" s="6">
        <v>35</v>
      </c>
      <c r="H48" s="58">
        <f>RANK(G48,$G$5:G$69)</f>
        <v>9</v>
      </c>
      <c r="I48" s="6">
        <v>33</v>
      </c>
      <c r="J48" s="58">
        <f>RANK(I48,$I$5:I$69)</f>
        <v>36</v>
      </c>
      <c r="K48" s="6">
        <v>100</v>
      </c>
      <c r="L48" s="58">
        <f>RANK(K48,$K$5:K$69)</f>
        <v>27</v>
      </c>
      <c r="M48" s="6">
        <v>15</v>
      </c>
      <c r="N48" s="58">
        <f>RANK(M48,$M$5:M$69)</f>
        <v>26</v>
      </c>
      <c r="O48" s="6">
        <v>8</v>
      </c>
      <c r="P48" s="58">
        <f>RANK(O48,$O$5:O$69)</f>
        <v>43</v>
      </c>
      <c r="Q48" s="6">
        <v>32</v>
      </c>
      <c r="R48" s="58">
        <f>RANK(Q48,$Q$5:Q$69)</f>
        <v>37</v>
      </c>
      <c r="S48" s="22">
        <v>15</v>
      </c>
      <c r="T48" s="58">
        <f>RANK(S48,$S$5:S$69)</f>
        <v>32</v>
      </c>
      <c r="U48" s="6">
        <v>91</v>
      </c>
      <c r="V48" s="58">
        <f>RANK(U48,$U$5:U$69)</f>
        <v>33</v>
      </c>
      <c r="W48" s="22">
        <v>30</v>
      </c>
      <c r="X48" s="58">
        <f>RANK(W48,$W$5:W$69)</f>
        <v>39</v>
      </c>
      <c r="Y48" s="22">
        <v>45</v>
      </c>
      <c r="Z48" s="58">
        <f>RANK(Y48,$Y$5:Y$69)</f>
        <v>8</v>
      </c>
      <c r="AA48" s="6">
        <f t="shared" si="3"/>
        <v>520</v>
      </c>
      <c r="AB48" s="57">
        <f t="shared" si="1"/>
        <v>34.666666666666664</v>
      </c>
      <c r="AC48" s="57">
        <v>28.150793650793656</v>
      </c>
      <c r="AD48" s="57">
        <f t="shared" si="4"/>
        <v>31.408730158730158</v>
      </c>
      <c r="AE48" s="58">
        <f>RANK(AD48,AD$6:$AD$69,0)</f>
        <v>34</v>
      </c>
    </row>
    <row r="49" spans="1:32" ht="20" customHeight="1">
      <c r="A49" s="46">
        <v>44</v>
      </c>
      <c r="B49" s="8" t="s">
        <v>47</v>
      </c>
      <c r="C49" s="22">
        <v>120</v>
      </c>
      <c r="D49" s="58">
        <f>RANK(C49,C$5:$C$69,0)</f>
        <v>2</v>
      </c>
      <c r="E49" s="22">
        <v>36</v>
      </c>
      <c r="F49" s="58">
        <f>RANK(E49,E$5:$E$69,0)</f>
        <v>7</v>
      </c>
      <c r="G49" s="6">
        <v>36</v>
      </c>
      <c r="H49" s="58">
        <f>RANK(G49,$G$5:G$69)</f>
        <v>1</v>
      </c>
      <c r="I49" s="6">
        <v>35</v>
      </c>
      <c r="J49" s="58">
        <f>RANK(I49,$I$5:I$69)</f>
        <v>4</v>
      </c>
      <c r="K49" s="6">
        <v>130</v>
      </c>
      <c r="L49" s="58">
        <f>RANK(K49,$K$5:K$69)</f>
        <v>11</v>
      </c>
      <c r="M49" s="6">
        <v>50</v>
      </c>
      <c r="N49" s="58">
        <f>RANK(M49,$M$5:M$69)</f>
        <v>1</v>
      </c>
      <c r="O49" s="6">
        <v>36</v>
      </c>
      <c r="P49" s="58">
        <f>RANK(O49,$O$5:O$69)</f>
        <v>1</v>
      </c>
      <c r="Q49" s="6">
        <v>35</v>
      </c>
      <c r="R49" s="58">
        <f>RANK(Q49,$Q$5:Q$69)</f>
        <v>21</v>
      </c>
      <c r="S49" s="22">
        <v>25</v>
      </c>
      <c r="T49" s="58">
        <f>RANK(S49,$S$5:S$69)</f>
        <v>1</v>
      </c>
      <c r="U49" s="6">
        <v>95</v>
      </c>
      <c r="V49" s="58">
        <f>RANK(U49,$U$5:U$69)</f>
        <v>6</v>
      </c>
      <c r="W49" s="22">
        <v>37</v>
      </c>
      <c r="X49" s="58">
        <f>RANK(W49,$W$5:W$69)</f>
        <v>1</v>
      </c>
      <c r="Y49" s="22">
        <v>45</v>
      </c>
      <c r="Z49" s="58">
        <f>RANK(Y49,$Y$5:Y$69)</f>
        <v>8</v>
      </c>
      <c r="AA49" s="6">
        <f t="shared" si="3"/>
        <v>680</v>
      </c>
      <c r="AB49" s="57">
        <f t="shared" si="1"/>
        <v>45.333333333333336</v>
      </c>
      <c r="AC49" s="57">
        <v>42.38095238095238</v>
      </c>
      <c r="AD49" s="57">
        <f t="shared" si="4"/>
        <v>43.857142857142861</v>
      </c>
      <c r="AE49" s="58">
        <f>RANK(AD49,AD$6:$AD$69,0)</f>
        <v>5</v>
      </c>
    </row>
    <row r="50" spans="1:32" ht="20" customHeight="1">
      <c r="A50" s="46">
        <v>45</v>
      </c>
      <c r="B50" s="8" t="s">
        <v>48</v>
      </c>
      <c r="C50" s="22">
        <v>80</v>
      </c>
      <c r="D50" s="58">
        <f>RANK(C50,C$5:$C$69,0)</f>
        <v>27</v>
      </c>
      <c r="E50" s="22">
        <v>36</v>
      </c>
      <c r="F50" s="58">
        <f>RANK(E50,E$5:$E$69,0)</f>
        <v>7</v>
      </c>
      <c r="G50" s="6">
        <v>34</v>
      </c>
      <c r="H50" s="58">
        <f>RANK(G50,$G$5:G$69)</f>
        <v>29</v>
      </c>
      <c r="I50" s="6">
        <v>34</v>
      </c>
      <c r="J50" s="58">
        <f>RANK(I50,$I$5:I$69)</f>
        <v>19</v>
      </c>
      <c r="K50" s="6">
        <v>120</v>
      </c>
      <c r="L50" s="58">
        <f>RANK(K50,$K$5:K$69)</f>
        <v>20</v>
      </c>
      <c r="M50" s="6">
        <v>0</v>
      </c>
      <c r="N50" s="58">
        <f>RANK(M50,$M$5:M$69)</f>
        <v>47</v>
      </c>
      <c r="O50" s="6">
        <v>8</v>
      </c>
      <c r="P50" s="58">
        <f>RANK(O50,$O$5:O$69)</f>
        <v>43</v>
      </c>
      <c r="Q50" s="6">
        <v>28</v>
      </c>
      <c r="R50" s="58">
        <f>RANK(Q50,$Q$5:Q$69)</f>
        <v>47</v>
      </c>
      <c r="S50" s="22">
        <v>13</v>
      </c>
      <c r="T50" s="58">
        <f>RANK(S50,$S$5:S$69)</f>
        <v>39</v>
      </c>
      <c r="U50" s="6">
        <v>81</v>
      </c>
      <c r="V50" s="58">
        <f>RANK(U50,$U$5:U$69)</f>
        <v>44</v>
      </c>
      <c r="W50" s="22">
        <v>35</v>
      </c>
      <c r="X50" s="58">
        <f>RANK(W50,$W$5:W$69)</f>
        <v>17</v>
      </c>
      <c r="Y50" s="22">
        <v>45</v>
      </c>
      <c r="Z50" s="58">
        <f>RANK(Y50,$Y$5:Y$69)</f>
        <v>8</v>
      </c>
      <c r="AA50" s="6">
        <f t="shared" si="3"/>
        <v>514</v>
      </c>
      <c r="AB50" s="57">
        <f t="shared" si="1"/>
        <v>34.266666666666666</v>
      </c>
      <c r="AC50" s="57">
        <v>29.095238095238098</v>
      </c>
      <c r="AD50" s="57">
        <f t="shared" si="4"/>
        <v>31.680952380952384</v>
      </c>
      <c r="AE50" s="58">
        <f>RANK(AD50,AD$6:$AD$69,0)</f>
        <v>32</v>
      </c>
    </row>
    <row r="51" spans="1:32" ht="20" customHeight="1">
      <c r="A51" s="46">
        <v>46</v>
      </c>
      <c r="B51" s="8" t="s">
        <v>49</v>
      </c>
      <c r="C51" s="22">
        <v>50</v>
      </c>
      <c r="D51" s="58">
        <f>RANK(C51,C$5:$C$69,0)</f>
        <v>40</v>
      </c>
      <c r="E51" s="22">
        <v>36</v>
      </c>
      <c r="F51" s="58">
        <f>RANK(E51,E$5:$E$69,0)</f>
        <v>7</v>
      </c>
      <c r="G51" s="6">
        <v>35</v>
      </c>
      <c r="H51" s="58">
        <f>RANK(G51,$G$5:G$69)</f>
        <v>9</v>
      </c>
      <c r="I51" s="6">
        <v>34</v>
      </c>
      <c r="J51" s="58">
        <f>RANK(I51,$I$5:I$69)</f>
        <v>19</v>
      </c>
      <c r="K51" s="6">
        <v>130</v>
      </c>
      <c r="L51" s="58">
        <f>RANK(K51,$K$5:K$69)</f>
        <v>11</v>
      </c>
      <c r="M51" s="6">
        <v>50</v>
      </c>
      <c r="N51" s="58">
        <f>RANK(M51,$M$5:M$69)</f>
        <v>1</v>
      </c>
      <c r="O51" s="6">
        <v>36</v>
      </c>
      <c r="P51" s="58">
        <f>RANK(O51,$O$5:O$69)</f>
        <v>1</v>
      </c>
      <c r="Q51" s="6">
        <v>36</v>
      </c>
      <c r="R51" s="58">
        <f>RANK(Q51,$Q$5:Q$69)</f>
        <v>1</v>
      </c>
      <c r="S51" s="22">
        <v>24</v>
      </c>
      <c r="T51" s="58">
        <f>RANK(S51,$S$5:S$69)</f>
        <v>16</v>
      </c>
      <c r="U51" s="6">
        <v>91</v>
      </c>
      <c r="V51" s="58">
        <f>RANK(U51,$U$5:U$69)</f>
        <v>33</v>
      </c>
      <c r="W51" s="22">
        <v>34</v>
      </c>
      <c r="X51" s="58">
        <f>RANK(W51,$W$5:W$69)</f>
        <v>30</v>
      </c>
      <c r="Y51" s="22">
        <v>45</v>
      </c>
      <c r="Z51" s="58">
        <f>RANK(Y51,$Y$5:Y$69)</f>
        <v>8</v>
      </c>
      <c r="AA51" s="6">
        <f t="shared" si="3"/>
        <v>601</v>
      </c>
      <c r="AB51" s="57">
        <f t="shared" si="1"/>
        <v>40.06666666666667</v>
      </c>
      <c r="AC51" s="57">
        <v>35.273015873015872</v>
      </c>
      <c r="AD51" s="57">
        <f t="shared" si="4"/>
        <v>37.669841269841271</v>
      </c>
      <c r="AE51" s="58">
        <f>RANK(AD51,AD$6:$AD$69,0)</f>
        <v>19</v>
      </c>
    </row>
    <row r="52" spans="1:32" ht="20" customHeight="1">
      <c r="A52" s="46">
        <v>47</v>
      </c>
      <c r="B52" s="8" t="s">
        <v>50</v>
      </c>
      <c r="C52" s="22">
        <v>0</v>
      </c>
      <c r="D52" s="58">
        <f>RANK(C52,C$5:$C$69,0)</f>
        <v>47</v>
      </c>
      <c r="E52" s="22">
        <v>0</v>
      </c>
      <c r="F52" s="58">
        <f>RANK(E52,E$5:$E$69,0)</f>
        <v>43</v>
      </c>
      <c r="G52" s="6">
        <v>0</v>
      </c>
      <c r="H52" s="58">
        <f>RANK(G52,$G$5:G$69)</f>
        <v>47</v>
      </c>
      <c r="I52" s="6">
        <v>0</v>
      </c>
      <c r="J52" s="58">
        <f>RANK(I52,$I$5:I$69)</f>
        <v>45</v>
      </c>
      <c r="K52" s="6">
        <v>0</v>
      </c>
      <c r="L52" s="58">
        <f>RANK(K52,$K$5:K$69)</f>
        <v>48</v>
      </c>
      <c r="M52" s="6">
        <v>0</v>
      </c>
      <c r="N52" s="58">
        <f>RANK(M52,$M$5:M$69)</f>
        <v>47</v>
      </c>
      <c r="O52" s="6">
        <v>0</v>
      </c>
      <c r="P52" s="58">
        <f>RANK(O52,$O$5:O$69)</f>
        <v>48</v>
      </c>
      <c r="Q52" s="6">
        <v>0</v>
      </c>
      <c r="R52" s="58">
        <f>RANK(Q52,$Q$5:Q$69)</f>
        <v>48</v>
      </c>
      <c r="S52" s="22">
        <v>0</v>
      </c>
      <c r="T52" s="58">
        <f>RANK(S52,$S$5:S$69)</f>
        <v>41</v>
      </c>
      <c r="U52" s="6">
        <v>0</v>
      </c>
      <c r="V52" s="58">
        <f>RANK(U52,$U$5:U$69)</f>
        <v>45</v>
      </c>
      <c r="W52" s="22">
        <v>0</v>
      </c>
      <c r="X52" s="58">
        <f>RANK(W52,$W$5:W$69)</f>
        <v>40</v>
      </c>
      <c r="Y52" s="22">
        <v>0</v>
      </c>
      <c r="Z52" s="58">
        <f>RANK(Y52,$Y$5:Y$69)</f>
        <v>48</v>
      </c>
      <c r="AA52" s="6">
        <f t="shared" si="3"/>
        <v>0</v>
      </c>
      <c r="AB52" s="57">
        <f t="shared" si="1"/>
        <v>0</v>
      </c>
      <c r="AC52" s="57">
        <v>0</v>
      </c>
      <c r="AD52" s="57">
        <f t="shared" si="4"/>
        <v>0</v>
      </c>
      <c r="AE52" s="58">
        <f>RANK(AD52,AD$6:$AD$69,0)</f>
        <v>48</v>
      </c>
    </row>
    <row r="53" spans="1:32" ht="20" customHeight="1">
      <c r="A53" s="46">
        <v>48</v>
      </c>
      <c r="B53" s="8" t="s">
        <v>51</v>
      </c>
      <c r="C53" s="22">
        <v>0</v>
      </c>
      <c r="D53" s="58">
        <f>RANK(C53,C$5:$C$69,0)</f>
        <v>47</v>
      </c>
      <c r="E53" s="22">
        <v>0</v>
      </c>
      <c r="F53" s="58">
        <f>RANK(E53,E$5:$E$69,0)</f>
        <v>43</v>
      </c>
      <c r="G53" s="6">
        <v>0</v>
      </c>
      <c r="H53" s="58">
        <f>RANK(G53,$G$5:G$69)</f>
        <v>47</v>
      </c>
      <c r="I53" s="6">
        <v>0</v>
      </c>
      <c r="J53" s="58">
        <f>RANK(I53,$I$5:I$69)</f>
        <v>45</v>
      </c>
      <c r="K53" s="6">
        <v>0</v>
      </c>
      <c r="L53" s="58">
        <f>RANK(K53,$K$5:K$69)</f>
        <v>48</v>
      </c>
      <c r="M53" s="6">
        <v>0</v>
      </c>
      <c r="N53" s="58">
        <f>RANK(M53,$M$5:M$69)</f>
        <v>47</v>
      </c>
      <c r="O53" s="6">
        <v>0</v>
      </c>
      <c r="P53" s="58">
        <f>RANK(O53,$O$5:O$69)</f>
        <v>48</v>
      </c>
      <c r="Q53" s="6">
        <v>0</v>
      </c>
      <c r="R53" s="58">
        <f>RANK(Q53,$Q$5:Q$69)</f>
        <v>48</v>
      </c>
      <c r="S53" s="22">
        <v>0</v>
      </c>
      <c r="T53" s="58">
        <f>RANK(S53,$S$5:S$69)</f>
        <v>41</v>
      </c>
      <c r="U53" s="6">
        <v>0</v>
      </c>
      <c r="V53" s="58">
        <f>RANK(U53,$U$5:U$69)</f>
        <v>45</v>
      </c>
      <c r="W53" s="22">
        <v>0</v>
      </c>
      <c r="X53" s="58">
        <f>RANK(W53,$W$5:W$69)</f>
        <v>40</v>
      </c>
      <c r="Y53" s="22">
        <v>0</v>
      </c>
      <c r="Z53" s="58">
        <f>RANK(Y53,$Y$5:Y$69)</f>
        <v>48</v>
      </c>
      <c r="AA53" s="6">
        <f t="shared" si="3"/>
        <v>0</v>
      </c>
      <c r="AB53" s="57">
        <f t="shared" si="1"/>
        <v>0</v>
      </c>
      <c r="AC53" s="57">
        <v>0</v>
      </c>
      <c r="AD53" s="57">
        <f t="shared" si="4"/>
        <v>0</v>
      </c>
      <c r="AE53" s="58">
        <f>RANK(AD53,AD$6:$AD$69,0)</f>
        <v>48</v>
      </c>
    </row>
    <row r="54" spans="1:32" ht="20" customHeight="1">
      <c r="A54" s="46">
        <v>49</v>
      </c>
      <c r="B54" s="8" t="s">
        <v>52</v>
      </c>
      <c r="C54" s="22">
        <v>110</v>
      </c>
      <c r="D54" s="58">
        <f>RANK(C54,C$5:$C$69,0)</f>
        <v>12</v>
      </c>
      <c r="E54" s="22">
        <v>36</v>
      </c>
      <c r="F54" s="58">
        <f>RANK(E54,E$5:$E$69,0)</f>
        <v>7</v>
      </c>
      <c r="G54" s="6">
        <v>30</v>
      </c>
      <c r="H54" s="58">
        <f>RANK(G54,$G$5:G$69)</f>
        <v>42</v>
      </c>
      <c r="I54" s="6">
        <v>34</v>
      </c>
      <c r="J54" s="58">
        <f>RANK(I54,$I$5:I$69)</f>
        <v>19</v>
      </c>
      <c r="K54" s="6">
        <v>75</v>
      </c>
      <c r="L54" s="58">
        <f>RANK(K54,$K$5:K$69)</f>
        <v>38</v>
      </c>
      <c r="M54" s="6">
        <v>15</v>
      </c>
      <c r="N54" s="58">
        <f>RANK(M54,$M$5:M$69)</f>
        <v>26</v>
      </c>
      <c r="O54" s="6">
        <v>20</v>
      </c>
      <c r="P54" s="58">
        <f>RANK(O54,$O$5:O$69)</f>
        <v>20</v>
      </c>
      <c r="Q54" s="6">
        <v>34</v>
      </c>
      <c r="R54" s="58">
        <f>RANK(Q54,$Q$5:Q$69)</f>
        <v>29</v>
      </c>
      <c r="S54" s="22">
        <v>18</v>
      </c>
      <c r="T54" s="58">
        <f>RANK(S54,$S$5:S$69)</f>
        <v>31</v>
      </c>
      <c r="U54" s="6">
        <v>93</v>
      </c>
      <c r="V54" s="58">
        <f>RANK(U54,$U$5:U$69)</f>
        <v>23</v>
      </c>
      <c r="W54" s="22">
        <v>34</v>
      </c>
      <c r="X54" s="58">
        <f>RANK(W54,$W$5:W$69)</f>
        <v>30</v>
      </c>
      <c r="Y54" s="22">
        <v>45</v>
      </c>
      <c r="Z54" s="58">
        <f>RANK(Y54,$Y$5:Y$69)</f>
        <v>8</v>
      </c>
      <c r="AA54" s="6">
        <f t="shared" si="3"/>
        <v>544</v>
      </c>
      <c r="AB54" s="57">
        <f t="shared" si="1"/>
        <v>36.266666666666666</v>
      </c>
      <c r="AC54" s="57">
        <v>25.733333333333334</v>
      </c>
      <c r="AD54" s="57">
        <f t="shared" si="4"/>
        <v>31</v>
      </c>
      <c r="AE54" s="58">
        <f>RANK(AD54,AD$6:$AD$69,0)</f>
        <v>36</v>
      </c>
    </row>
    <row r="55" spans="1:32" ht="20" customHeight="1">
      <c r="A55" s="46">
        <v>50</v>
      </c>
      <c r="B55" s="8" t="s">
        <v>53</v>
      </c>
      <c r="C55" s="22">
        <v>120</v>
      </c>
      <c r="D55" s="58">
        <f>RANK(C55,C$5:$C$69,0)</f>
        <v>2</v>
      </c>
      <c r="E55" s="22">
        <v>37</v>
      </c>
      <c r="F55" s="58">
        <f>RANK(E55,E$5:$E$69,0)</f>
        <v>1</v>
      </c>
      <c r="G55" s="6">
        <v>35</v>
      </c>
      <c r="H55" s="58">
        <f>RANK(G55,$G$5:G$69)</f>
        <v>9</v>
      </c>
      <c r="I55" s="6">
        <v>33</v>
      </c>
      <c r="J55" s="58">
        <f>RANK(I55,$I$5:I$69)</f>
        <v>36</v>
      </c>
      <c r="K55" s="6">
        <v>145</v>
      </c>
      <c r="L55" s="58">
        <f>RANK(K55,$K$5:K$69)</f>
        <v>1</v>
      </c>
      <c r="M55" s="6">
        <v>50</v>
      </c>
      <c r="N55" s="58">
        <f>RANK(M55,$M$5:M$69)</f>
        <v>1</v>
      </c>
      <c r="O55" s="6">
        <v>36</v>
      </c>
      <c r="P55" s="58">
        <f>RANK(O55,$O$5:O$69)</f>
        <v>1</v>
      </c>
      <c r="Q55" s="6">
        <v>36</v>
      </c>
      <c r="R55" s="58">
        <f>RANK(Q55,$Q$5:Q$69)</f>
        <v>1</v>
      </c>
      <c r="S55" s="22">
        <v>24</v>
      </c>
      <c r="T55" s="58">
        <f>RANK(S55,$S$5:S$69)</f>
        <v>16</v>
      </c>
      <c r="U55" s="6">
        <v>94</v>
      </c>
      <c r="V55" s="58">
        <f>RANK(U55,$U$5:U$69)</f>
        <v>15</v>
      </c>
      <c r="W55" s="22">
        <v>36</v>
      </c>
      <c r="X55" s="58">
        <f>RANK(W55,$W$5:W$69)</f>
        <v>12</v>
      </c>
      <c r="Y55" s="22">
        <v>45</v>
      </c>
      <c r="Z55" s="58">
        <f>RANK(Y55,$Y$5:Y$69)</f>
        <v>8</v>
      </c>
      <c r="AA55" s="6">
        <f t="shared" si="3"/>
        <v>691</v>
      </c>
      <c r="AB55" s="57">
        <f t="shared" si="1"/>
        <v>46.06666666666667</v>
      </c>
      <c r="AC55" s="57">
        <v>44.182539682539677</v>
      </c>
      <c r="AD55" s="57">
        <f t="shared" si="4"/>
        <v>45.124603174603173</v>
      </c>
      <c r="AE55" s="58">
        <f>RANK(AD55,AD$6:$AD$69,0)</f>
        <v>2</v>
      </c>
    </row>
    <row r="56" spans="1:32" ht="22.5" customHeight="1">
      <c r="A56" s="10"/>
      <c r="B56" s="10" t="s">
        <v>69</v>
      </c>
      <c r="C56" s="10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82" t="s">
        <v>78</v>
      </c>
      <c r="Z56" s="28"/>
      <c r="AA56" s="59"/>
      <c r="AB56" s="59"/>
      <c r="AC56" s="59"/>
      <c r="AD56" s="59"/>
      <c r="AE56" s="59"/>
      <c r="AF56" s="61"/>
    </row>
    <row r="57" spans="1:32" ht="22.5" customHeight="1">
      <c r="A57" s="26"/>
      <c r="B57" s="11" t="s">
        <v>70</v>
      </c>
      <c r="C57" s="26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83" t="s">
        <v>71</v>
      </c>
      <c r="Z57" s="83"/>
      <c r="AA57" s="61"/>
      <c r="AB57" s="61"/>
      <c r="AC57" s="61"/>
      <c r="AD57" s="61"/>
      <c r="AE57" s="61"/>
      <c r="AF57" s="61"/>
    </row>
    <row r="58" spans="1:32" ht="25.1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83"/>
      <c r="Z58" s="84"/>
      <c r="AA58" s="61"/>
      <c r="AB58" s="61"/>
      <c r="AC58" s="61"/>
      <c r="AD58" s="61"/>
      <c r="AE58" s="61"/>
      <c r="AF58" s="61"/>
    </row>
    <row r="59" spans="1:32" ht="25.1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83" t="s">
        <v>76</v>
      </c>
      <c r="Z59" s="83"/>
      <c r="AA59" s="61"/>
      <c r="AB59" s="61"/>
      <c r="AC59" s="61"/>
      <c r="AD59" s="61"/>
      <c r="AE59" s="61"/>
      <c r="AF59" s="61"/>
    </row>
    <row r="60" spans="1:32" ht="25.1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45"/>
      <c r="AE60" s="45"/>
    </row>
    <row r="61" spans="1:32" ht="25.1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</row>
    <row r="62" spans="1:32" ht="25.1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</row>
    <row r="63" spans="1:32" ht="25.1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</row>
    <row r="64" spans="1:32" ht="25.15" customHeight="1">
      <c r="A64" s="44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</row>
    <row r="65" spans="1:31" ht="22.9" customHeight="1">
      <c r="A65" s="15"/>
      <c r="B65" s="15"/>
      <c r="C65" s="15"/>
      <c r="D65" s="103">
        <v>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43"/>
    </row>
    <row r="66" spans="1:31" ht="22.9" customHeight="1">
      <c r="A66" s="15"/>
      <c r="B66" s="15"/>
      <c r="C66" s="15"/>
      <c r="D66" s="103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43"/>
    </row>
    <row r="67" spans="1:31" ht="22.9" customHeight="1">
      <c r="A67" s="15"/>
      <c r="B67" s="15"/>
      <c r="C67" s="15"/>
      <c r="D67" s="103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43"/>
    </row>
    <row r="68" spans="1:31" ht="22.9" customHeight="1">
      <c r="A68" s="15"/>
      <c r="B68" s="15"/>
      <c r="C68" s="15"/>
      <c r="D68" s="103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spans="1:31" ht="22.9" customHeight="1">
      <c r="A69" s="15"/>
      <c r="B69" s="15"/>
      <c r="C69" s="15"/>
      <c r="D69" s="103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spans="1:31" ht="22.9" customHeight="1">
      <c r="A70" s="15"/>
      <c r="B70" s="15"/>
      <c r="C70" s="15"/>
      <c r="D70" s="103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spans="1:31" ht="22.9" customHeight="1">
      <c r="A71" s="15"/>
      <c r="B71" s="15"/>
      <c r="C71" s="15"/>
      <c r="D71" s="103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1" ht="22.9" customHeight="1">
      <c r="A72" s="15"/>
      <c r="B72" s="15"/>
      <c r="C72" s="15"/>
      <c r="D72" s="103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1" ht="22.9" customHeight="1">
      <c r="A73" s="15"/>
      <c r="B73" s="15"/>
      <c r="C73" s="15"/>
      <c r="D73" s="103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1" ht="22.9" customHeight="1">
      <c r="A74" s="15"/>
      <c r="B74" s="15"/>
      <c r="C74" s="15"/>
      <c r="D74" s="103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spans="1:31" ht="22.9" customHeight="1">
      <c r="A75" s="15"/>
      <c r="B75" s="15"/>
      <c r="C75" s="15"/>
      <c r="D75" s="103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spans="1:31" ht="22.9" customHeight="1">
      <c r="A76" s="15"/>
      <c r="B76" s="15"/>
      <c r="C76" s="15"/>
      <c r="D76" s="103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spans="1:31" ht="22.9" customHeight="1">
      <c r="A77" s="15"/>
      <c r="B77" s="15"/>
      <c r="C77" s="15"/>
      <c r="D77" s="103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spans="1:31" ht="22.9" customHeight="1">
      <c r="A78" s="15"/>
      <c r="B78" s="15"/>
      <c r="C78" s="15"/>
      <c r="D78" s="103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22.9" customHeight="1">
      <c r="A79" s="15"/>
      <c r="B79" s="15"/>
      <c r="C79" s="15"/>
      <c r="D79" s="103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spans="1:31" ht="22.9" customHeight="1">
      <c r="A80" s="15"/>
      <c r="B80" s="15"/>
      <c r="C80" s="15"/>
      <c r="D80" s="103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spans="1:31" ht="22.9" customHeight="1">
      <c r="A81" s="15"/>
      <c r="B81" s="15"/>
      <c r="C81" s="15"/>
      <c r="D81" s="103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22.9" customHeight="1">
      <c r="A82" s="15"/>
      <c r="B82" s="15"/>
      <c r="C82" s="15"/>
      <c r="D82" s="103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spans="1:31" ht="22.9" customHeight="1">
      <c r="A83" s="15"/>
      <c r="B83" s="15"/>
      <c r="C83" s="15"/>
      <c r="D83" s="103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spans="1:31" ht="22.9" customHeight="1">
      <c r="A84" s="15"/>
      <c r="B84" s="15"/>
      <c r="C84" s="15"/>
      <c r="D84" s="103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spans="1:31" ht="22.9" customHeight="1">
      <c r="A85" s="15"/>
      <c r="B85" s="15"/>
      <c r="C85" s="15"/>
      <c r="D85" s="103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spans="1:31" ht="22.9" customHeight="1">
      <c r="A86" s="15"/>
      <c r="B86" s="15"/>
      <c r="C86" s="15"/>
      <c r="D86" s="103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spans="1:31" ht="22.9" customHeight="1">
      <c r="A87" s="15"/>
      <c r="B87" s="15"/>
      <c r="C87" s="15"/>
      <c r="D87" s="103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spans="1:31" ht="22.9" customHeight="1">
      <c r="A88" s="15"/>
      <c r="B88" s="15"/>
      <c r="C88" s="15"/>
      <c r="D88" s="103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spans="1:31" ht="22.9" customHeight="1">
      <c r="A89" s="15"/>
      <c r="B89" s="15"/>
      <c r="C89" s="15"/>
      <c r="D89" s="103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spans="1:31" ht="22.9" customHeight="1">
      <c r="A90" s="15"/>
      <c r="B90" s="15"/>
      <c r="C90" s="15"/>
      <c r="D90" s="103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spans="1:31" ht="22.9" customHeight="1">
      <c r="A91" s="15"/>
      <c r="B91" s="15"/>
      <c r="C91" s="15"/>
      <c r="D91" s="103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spans="1:31" ht="22.9" customHeight="1">
      <c r="A92" s="15"/>
      <c r="B92" s="15"/>
      <c r="C92" s="15"/>
      <c r="D92" s="103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spans="1:31" ht="22.9" customHeight="1">
      <c r="A93" s="15"/>
      <c r="B93" s="15"/>
      <c r="C93" s="15"/>
      <c r="D93" s="103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spans="1:31" ht="22.9" customHeight="1">
      <c r="A94" s="15"/>
      <c r="B94" s="15"/>
      <c r="C94" s="15"/>
      <c r="D94" s="103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spans="1:31" ht="22.9" customHeight="1">
      <c r="A95" s="15"/>
      <c r="B95" s="15"/>
      <c r="C95" s="15"/>
      <c r="D95" s="103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ht="22.9" customHeight="1">
      <c r="A96" s="15"/>
      <c r="B96" s="15"/>
      <c r="C96" s="15"/>
      <c r="D96" s="103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ht="22.9" customHeight="1">
      <c r="A97" s="15"/>
      <c r="B97" s="15"/>
      <c r="C97" s="15"/>
      <c r="D97" s="103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22.9" customHeight="1">
      <c r="A98" s="15"/>
      <c r="B98" s="15"/>
      <c r="C98" s="15"/>
      <c r="D98" s="103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22.9" customHeight="1">
      <c r="A99" s="15"/>
      <c r="B99" s="15"/>
      <c r="C99" s="15"/>
      <c r="D99" s="103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ht="22.9" customHeight="1">
      <c r="A100" s="15"/>
      <c r="B100" s="15"/>
      <c r="C100" s="15"/>
      <c r="D100" s="103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ht="22.9" customHeight="1">
      <c r="A101" s="15"/>
      <c r="B101" s="15"/>
      <c r="C101" s="15"/>
      <c r="D101" s="103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ht="22.9" customHeight="1">
      <c r="A102" s="15"/>
      <c r="B102" s="15"/>
      <c r="C102" s="15"/>
      <c r="D102" s="103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ht="22.9" customHeight="1">
      <c r="A103" s="15"/>
      <c r="B103" s="15"/>
      <c r="C103" s="15"/>
      <c r="D103" s="103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ht="22.9" customHeight="1">
      <c r="A104" s="15"/>
      <c r="B104" s="15"/>
      <c r="C104" s="15"/>
      <c r="D104" s="103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ht="22.9" customHeight="1">
      <c r="A105" s="15"/>
      <c r="B105" s="15"/>
      <c r="C105" s="15"/>
      <c r="D105" s="103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ht="22.9" customHeight="1">
      <c r="A106" s="15"/>
      <c r="B106" s="15"/>
      <c r="C106" s="15"/>
      <c r="D106" s="103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ht="22.9" customHeight="1">
      <c r="A107" s="15"/>
      <c r="B107" s="15"/>
      <c r="C107" s="15"/>
      <c r="D107" s="103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22.9" customHeight="1">
      <c r="A108" s="15"/>
      <c r="B108" s="15"/>
      <c r="C108" s="15"/>
      <c r="D108" s="103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ht="22.9" customHeight="1">
      <c r="A109" s="15"/>
      <c r="B109" s="15"/>
      <c r="C109" s="15"/>
      <c r="D109" s="103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ht="22.9" customHeight="1">
      <c r="A110" s="15"/>
      <c r="B110" s="15"/>
      <c r="C110" s="15"/>
      <c r="D110" s="103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ht="22.9" customHeight="1">
      <c r="A111" s="15"/>
      <c r="B111" s="15"/>
      <c r="C111" s="15"/>
      <c r="D111" s="103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ht="22.9" customHeight="1">
      <c r="A112" s="15"/>
      <c r="B112" s="15"/>
      <c r="C112" s="15"/>
      <c r="D112" s="103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22.9" customHeight="1">
      <c r="A113" s="15"/>
      <c r="B113" s="15"/>
      <c r="C113" s="15"/>
      <c r="D113" s="103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22.9" customHeight="1">
      <c r="A114" s="15"/>
      <c r="B114" s="15"/>
      <c r="C114" s="15"/>
      <c r="D114" s="103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ht="22.9" customHeight="1">
      <c r="A115" s="15"/>
      <c r="B115" s="15"/>
      <c r="C115" s="15"/>
      <c r="D115" s="103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22.9" customHeight="1">
      <c r="A116" s="15"/>
      <c r="B116" s="15"/>
      <c r="C116" s="15"/>
      <c r="D116" s="103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ht="22.9" customHeight="1">
      <c r="A117" s="15"/>
      <c r="B117" s="15"/>
      <c r="C117" s="15"/>
      <c r="D117" s="103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ht="22.9" customHeight="1">
      <c r="A118" s="15"/>
      <c r="B118" s="15"/>
      <c r="C118" s="15"/>
      <c r="D118" s="103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ht="22.9" customHeight="1">
      <c r="A119" s="15"/>
      <c r="B119" s="15"/>
      <c r="C119" s="15"/>
      <c r="D119" s="103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ht="22.9" customHeight="1">
      <c r="A120" s="15"/>
      <c r="B120" s="15"/>
      <c r="C120" s="15"/>
      <c r="D120" s="103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ht="22.9" customHeight="1">
      <c r="A121" s="15"/>
      <c r="B121" s="15"/>
      <c r="C121" s="15"/>
      <c r="D121" s="103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ht="22.9" customHeight="1">
      <c r="A122" s="15"/>
      <c r="B122" s="15"/>
      <c r="C122" s="15"/>
      <c r="D122" s="103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ht="22.9" customHeight="1">
      <c r="A123" s="15"/>
      <c r="B123" s="15"/>
      <c r="C123" s="15"/>
      <c r="D123" s="103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ht="22.9" customHeight="1">
      <c r="A124" s="15"/>
      <c r="B124" s="15"/>
      <c r="C124" s="15"/>
      <c r="D124" s="103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</sheetData>
  <mergeCells count="15">
    <mergeCell ref="D65:D124"/>
    <mergeCell ref="A4:A5"/>
    <mergeCell ref="B4:B5"/>
    <mergeCell ref="AE4:AE5"/>
    <mergeCell ref="C4:D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</mergeCells>
  <printOptions verticalCentered="1"/>
  <pageMargins left="0.25" right="0.25" top="0" bottom="0" header="0.3" footer="0.3"/>
  <pageSetup paperSize="5" fitToWidth="3" fitToHeight="1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59"/>
  <sheetViews>
    <sheetView topLeftCell="A39" workbookViewId="0">
      <selection activeCell="A6" sqref="A6:A55"/>
    </sheetView>
  </sheetViews>
  <sheetFormatPr defaultRowHeight="14.25"/>
  <cols>
    <col min="1" max="1" width="3.265625" customWidth="1"/>
    <col min="2" max="2" width="18.06640625" customWidth="1"/>
    <col min="4" max="4" width="13.1328125" customWidth="1"/>
    <col min="5" max="5" width="10.6640625" customWidth="1"/>
    <col min="6" max="6" width="17" customWidth="1"/>
  </cols>
  <sheetData>
    <row r="1" spans="1:31">
      <c r="A1" s="104" t="s">
        <v>103</v>
      </c>
      <c r="B1" s="104"/>
      <c r="C1" s="104"/>
      <c r="D1" s="104"/>
      <c r="E1" s="104"/>
      <c r="F1" s="104"/>
      <c r="G1" s="104"/>
      <c r="H1" s="104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</row>
    <row r="2" spans="1:31">
      <c r="A2" s="77" t="s">
        <v>88</v>
      </c>
      <c r="B2" s="77"/>
      <c r="C2" s="78"/>
      <c r="D2" s="77"/>
      <c r="E2" s="77" t="s">
        <v>104</v>
      </c>
      <c r="F2" s="77"/>
      <c r="G2" s="77"/>
      <c r="H2" s="77"/>
      <c r="I2" s="78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78"/>
      <c r="X2" s="79"/>
      <c r="Y2" s="78"/>
      <c r="Z2" s="77"/>
      <c r="AA2" s="78"/>
      <c r="AB2" s="78"/>
      <c r="AC2" s="78"/>
      <c r="AD2" s="78"/>
      <c r="AE2" s="80"/>
    </row>
    <row r="3" spans="1:31" ht="14.65" thickBot="1">
      <c r="A3" s="77"/>
      <c r="B3" s="81" t="s">
        <v>105</v>
      </c>
      <c r="C3" s="105" t="s">
        <v>112</v>
      </c>
      <c r="D3" s="105"/>
      <c r="E3" s="77" t="s">
        <v>106</v>
      </c>
      <c r="F3" s="104" t="s">
        <v>113</v>
      </c>
      <c r="G3" s="104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</row>
    <row r="4" spans="1:31">
      <c r="A4" s="108" t="s">
        <v>93</v>
      </c>
      <c r="B4" s="110" t="s">
        <v>5</v>
      </c>
      <c r="C4" s="112" t="s">
        <v>95</v>
      </c>
      <c r="D4" s="112" t="s">
        <v>107</v>
      </c>
      <c r="E4" s="112" t="s">
        <v>108</v>
      </c>
      <c r="F4" s="112" t="s">
        <v>109</v>
      </c>
      <c r="G4" s="112" t="s">
        <v>75</v>
      </c>
      <c r="H4" s="63"/>
      <c r="I4" s="64"/>
      <c r="J4" s="65"/>
      <c r="K4" s="66" t="s">
        <v>110</v>
      </c>
      <c r="L4" s="65"/>
      <c r="M4" s="64"/>
      <c r="N4" s="65"/>
      <c r="O4" s="64"/>
      <c r="P4" s="65"/>
      <c r="Q4" s="64"/>
      <c r="R4" s="65"/>
      <c r="S4" s="64"/>
      <c r="T4" s="65"/>
      <c r="U4" s="64"/>
      <c r="V4" s="67" t="s">
        <v>111</v>
      </c>
      <c r="W4" s="64"/>
      <c r="X4" s="65"/>
      <c r="Y4" s="64"/>
      <c r="Z4" s="65"/>
      <c r="AA4" s="64"/>
      <c r="AB4" s="64"/>
      <c r="AC4" s="64"/>
      <c r="AD4" s="64"/>
      <c r="AE4" s="68"/>
    </row>
    <row r="5" spans="1:31" ht="5.65" customHeight="1">
      <c r="A5" s="109"/>
      <c r="B5" s="111"/>
      <c r="C5" s="113"/>
      <c r="D5" s="113"/>
      <c r="E5" s="113"/>
      <c r="F5" s="113"/>
      <c r="G5" s="113"/>
      <c r="H5" s="63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69"/>
      <c r="AB5" s="69"/>
      <c r="AC5" s="69"/>
      <c r="AD5" s="69"/>
      <c r="AE5" s="114"/>
    </row>
    <row r="6" spans="1:31">
      <c r="A6" s="62">
        <v>1</v>
      </c>
      <c r="B6" s="41" t="s">
        <v>12</v>
      </c>
      <c r="C6" s="62">
        <v>710</v>
      </c>
      <c r="D6" s="57">
        <v>47.333333333333336</v>
      </c>
      <c r="E6" s="57">
        <v>46.696825396825396</v>
      </c>
      <c r="F6" s="57">
        <v>47.015079365079366</v>
      </c>
      <c r="G6" s="62">
        <v>1</v>
      </c>
      <c r="H6" s="70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114"/>
    </row>
    <row r="7" spans="1:31">
      <c r="A7" s="62">
        <v>2</v>
      </c>
      <c r="B7" s="41" t="s">
        <v>53</v>
      </c>
      <c r="C7" s="62">
        <v>691</v>
      </c>
      <c r="D7" s="57">
        <v>46.06666666666667</v>
      </c>
      <c r="E7" s="57">
        <v>44.182539682539677</v>
      </c>
      <c r="F7" s="57">
        <v>45.124603174603173</v>
      </c>
      <c r="G7" s="62">
        <v>2</v>
      </c>
      <c r="H7" s="70"/>
      <c r="I7" s="71"/>
      <c r="J7" s="72"/>
      <c r="K7" s="71"/>
      <c r="L7" s="72"/>
      <c r="M7" s="71"/>
      <c r="N7" s="72"/>
      <c r="O7" s="71"/>
      <c r="P7" s="72"/>
      <c r="Q7" s="71"/>
      <c r="R7" s="72"/>
      <c r="S7" s="71"/>
      <c r="T7" s="72"/>
      <c r="U7" s="71"/>
      <c r="V7" s="72"/>
      <c r="W7" s="71"/>
      <c r="X7" s="72"/>
      <c r="Y7" s="71"/>
      <c r="Z7" s="72"/>
      <c r="AA7" s="71"/>
      <c r="AB7" s="73"/>
      <c r="AC7" s="73"/>
      <c r="AD7" s="73"/>
      <c r="AE7" s="72"/>
    </row>
    <row r="8" spans="1:31">
      <c r="A8" s="62">
        <v>3</v>
      </c>
      <c r="B8" s="41" t="s">
        <v>42</v>
      </c>
      <c r="C8" s="62">
        <v>693</v>
      </c>
      <c r="D8" s="57">
        <v>46.2</v>
      </c>
      <c r="E8" s="57">
        <v>42.523809523809518</v>
      </c>
      <c r="F8" s="57">
        <v>44.361904761904761</v>
      </c>
      <c r="G8" s="62">
        <v>3</v>
      </c>
      <c r="H8" s="70"/>
      <c r="I8" s="71"/>
      <c r="J8" s="72"/>
      <c r="K8" s="71"/>
      <c r="L8" s="72"/>
      <c r="M8" s="71"/>
      <c r="N8" s="72"/>
      <c r="O8" s="71"/>
      <c r="P8" s="72"/>
      <c r="Q8" s="71"/>
      <c r="R8" s="72"/>
      <c r="S8" s="71"/>
      <c r="T8" s="72"/>
      <c r="U8" s="71"/>
      <c r="V8" s="72"/>
      <c r="W8" s="71"/>
      <c r="X8" s="72"/>
      <c r="Y8" s="71"/>
      <c r="Z8" s="72"/>
      <c r="AA8" s="71"/>
      <c r="AB8" s="73"/>
      <c r="AC8" s="74"/>
      <c r="AD8" s="73"/>
      <c r="AE8" s="72"/>
    </row>
    <row r="9" spans="1:31">
      <c r="A9" s="62">
        <v>4</v>
      </c>
      <c r="B9" s="41" t="s">
        <v>6</v>
      </c>
      <c r="C9" s="62">
        <v>685</v>
      </c>
      <c r="D9" s="57">
        <v>45.666666666666664</v>
      </c>
      <c r="E9" s="57">
        <v>42.731746031746034</v>
      </c>
      <c r="F9" s="57">
        <v>44.199206349206349</v>
      </c>
      <c r="G9" s="62">
        <v>4</v>
      </c>
      <c r="H9" s="70"/>
      <c r="I9" s="71"/>
      <c r="J9" s="72"/>
      <c r="K9" s="75"/>
      <c r="L9" s="72"/>
      <c r="M9" s="71"/>
      <c r="N9" s="72"/>
      <c r="O9" s="71"/>
      <c r="P9" s="72"/>
      <c r="Q9" s="71"/>
      <c r="R9" s="72"/>
      <c r="S9" s="71"/>
      <c r="T9" s="72"/>
      <c r="U9" s="71"/>
      <c r="V9" s="72"/>
      <c r="W9" s="71"/>
      <c r="X9" s="72"/>
      <c r="Y9" s="71"/>
      <c r="Z9" s="72"/>
      <c r="AA9" s="71"/>
      <c r="AB9" s="73"/>
      <c r="AC9" s="74"/>
      <c r="AD9" s="73"/>
      <c r="AE9" s="72"/>
    </row>
    <row r="10" spans="1:31">
      <c r="A10" s="62">
        <v>5</v>
      </c>
      <c r="B10" s="41" t="s">
        <v>47</v>
      </c>
      <c r="C10" s="62">
        <v>680</v>
      </c>
      <c r="D10" s="57">
        <v>45.333333333333336</v>
      </c>
      <c r="E10" s="57">
        <v>42.38095238095238</v>
      </c>
      <c r="F10" s="57">
        <v>43.857142857142861</v>
      </c>
      <c r="G10" s="62">
        <v>5</v>
      </c>
      <c r="H10" s="70"/>
      <c r="I10" s="71"/>
      <c r="J10" s="72"/>
      <c r="K10" s="71"/>
      <c r="L10" s="72"/>
      <c r="M10" s="71"/>
      <c r="N10" s="72"/>
      <c r="O10" s="71"/>
      <c r="P10" s="72"/>
      <c r="Q10" s="71"/>
      <c r="R10" s="72"/>
      <c r="S10" s="71"/>
      <c r="T10" s="72"/>
      <c r="U10" s="71"/>
      <c r="V10" s="72"/>
      <c r="W10" s="71"/>
      <c r="X10" s="72"/>
      <c r="Y10" s="71"/>
      <c r="Z10" s="72"/>
      <c r="AA10" s="71"/>
      <c r="AB10" s="73"/>
      <c r="AC10" s="74"/>
      <c r="AD10" s="73"/>
      <c r="AE10" s="72"/>
    </row>
    <row r="11" spans="1:31">
      <c r="A11" s="62">
        <v>6</v>
      </c>
      <c r="B11" s="41" t="s">
        <v>29</v>
      </c>
      <c r="C11" s="62">
        <v>643</v>
      </c>
      <c r="D11" s="57">
        <v>42.866666666666667</v>
      </c>
      <c r="E11" s="57">
        <v>44.195238095238096</v>
      </c>
      <c r="F11" s="57">
        <v>43.530952380952385</v>
      </c>
      <c r="G11" s="62">
        <v>6</v>
      </c>
      <c r="H11" s="70"/>
      <c r="I11" s="71"/>
      <c r="J11" s="72"/>
      <c r="K11" s="71"/>
      <c r="L11" s="72"/>
      <c r="M11" s="71"/>
      <c r="N11" s="72"/>
      <c r="O11" s="71"/>
      <c r="P11" s="72"/>
      <c r="Q11" s="71"/>
      <c r="R11" s="72"/>
      <c r="S11" s="71"/>
      <c r="T11" s="72"/>
      <c r="U11" s="71"/>
      <c r="V11" s="72"/>
      <c r="W11" s="71"/>
      <c r="X11" s="72"/>
      <c r="Y11" s="71"/>
      <c r="Z11" s="72"/>
      <c r="AA11" s="71"/>
      <c r="AB11" s="73"/>
      <c r="AC11" s="74"/>
      <c r="AD11" s="73"/>
      <c r="AE11" s="72"/>
    </row>
    <row r="12" spans="1:31">
      <c r="A12" s="62">
        <v>7</v>
      </c>
      <c r="B12" s="41" t="s">
        <v>19</v>
      </c>
      <c r="C12" s="62">
        <v>635</v>
      </c>
      <c r="D12" s="57">
        <v>42.333333333333336</v>
      </c>
      <c r="E12" s="57">
        <v>44.009523809523813</v>
      </c>
      <c r="F12" s="57">
        <v>43.171428571428578</v>
      </c>
      <c r="G12" s="62">
        <v>7</v>
      </c>
      <c r="H12" s="70"/>
      <c r="I12" s="71"/>
      <c r="J12" s="72"/>
      <c r="K12" s="75"/>
      <c r="L12" s="72"/>
      <c r="M12" s="71"/>
      <c r="N12" s="72"/>
      <c r="O12" s="71"/>
      <c r="P12" s="72"/>
      <c r="Q12" s="71"/>
      <c r="R12" s="72"/>
      <c r="S12" s="71"/>
      <c r="T12" s="72"/>
      <c r="U12" s="71"/>
      <c r="V12" s="72"/>
      <c r="W12" s="71"/>
      <c r="X12" s="72"/>
      <c r="Y12" s="71"/>
      <c r="Z12" s="72"/>
      <c r="AA12" s="71"/>
      <c r="AB12" s="73"/>
      <c r="AC12" s="74"/>
      <c r="AD12" s="73"/>
      <c r="AE12" s="72"/>
    </row>
    <row r="13" spans="1:31">
      <c r="A13" s="62">
        <v>8</v>
      </c>
      <c r="B13" s="41" t="s">
        <v>36</v>
      </c>
      <c r="C13" s="62">
        <v>644</v>
      </c>
      <c r="D13" s="57">
        <v>42.93333333333333</v>
      </c>
      <c r="E13" s="57">
        <v>42.471428571428568</v>
      </c>
      <c r="F13" s="57">
        <v>42.702380952380949</v>
      </c>
      <c r="G13" s="62">
        <v>8</v>
      </c>
      <c r="H13" s="70"/>
      <c r="I13" s="71"/>
      <c r="J13" s="72"/>
      <c r="K13" s="71"/>
      <c r="L13" s="72"/>
      <c r="M13" s="71"/>
      <c r="N13" s="72"/>
      <c r="O13" s="71"/>
      <c r="P13" s="72"/>
      <c r="Q13" s="71"/>
      <c r="R13" s="72"/>
      <c r="S13" s="71"/>
      <c r="T13" s="72"/>
      <c r="U13" s="71"/>
      <c r="V13" s="72"/>
      <c r="W13" s="71"/>
      <c r="X13" s="72"/>
      <c r="Y13" s="71"/>
      <c r="Z13" s="72"/>
      <c r="AA13" s="71"/>
      <c r="AB13" s="73"/>
      <c r="AC13" s="73"/>
      <c r="AD13" s="73"/>
      <c r="AE13" s="72"/>
    </row>
    <row r="14" spans="1:31">
      <c r="A14" s="62">
        <v>9</v>
      </c>
      <c r="B14" s="41" t="s">
        <v>18</v>
      </c>
      <c r="C14" s="62">
        <v>643</v>
      </c>
      <c r="D14" s="57">
        <v>42.866666666666667</v>
      </c>
      <c r="E14" s="57">
        <v>42.485714285714288</v>
      </c>
      <c r="F14" s="57">
        <v>42.676190476190477</v>
      </c>
      <c r="G14" s="62">
        <v>9</v>
      </c>
      <c r="H14" s="70"/>
      <c r="I14" s="71"/>
      <c r="J14" s="72"/>
      <c r="K14" s="75"/>
      <c r="L14" s="72"/>
      <c r="M14" s="71"/>
      <c r="N14" s="72"/>
      <c r="O14" s="71"/>
      <c r="P14" s="72"/>
      <c r="Q14" s="71"/>
      <c r="R14" s="72"/>
      <c r="S14" s="71"/>
      <c r="T14" s="72"/>
      <c r="U14" s="71"/>
      <c r="V14" s="72"/>
      <c r="W14" s="71"/>
      <c r="X14" s="72"/>
      <c r="Y14" s="71"/>
      <c r="Z14" s="72"/>
      <c r="AA14" s="71"/>
      <c r="AB14" s="73"/>
      <c r="AC14" s="74"/>
      <c r="AD14" s="73"/>
      <c r="AE14" s="72"/>
    </row>
    <row r="15" spans="1:31">
      <c r="A15" s="62">
        <v>10</v>
      </c>
      <c r="B15" s="41" t="s">
        <v>23</v>
      </c>
      <c r="C15" s="62">
        <v>642</v>
      </c>
      <c r="D15" s="57">
        <v>42.8</v>
      </c>
      <c r="E15" s="57">
        <v>42.152380952380952</v>
      </c>
      <c r="F15" s="57">
        <v>42.476190476190474</v>
      </c>
      <c r="G15" s="62">
        <v>10</v>
      </c>
      <c r="H15" s="70"/>
      <c r="I15" s="76"/>
      <c r="J15" s="72"/>
      <c r="K15" s="71"/>
      <c r="L15" s="72"/>
      <c r="M15" s="71"/>
      <c r="N15" s="72"/>
      <c r="O15" s="71"/>
      <c r="P15" s="72"/>
      <c r="Q15" s="71"/>
      <c r="R15" s="72"/>
      <c r="S15" s="71"/>
      <c r="T15" s="72"/>
      <c r="U15" s="71"/>
      <c r="V15" s="72"/>
      <c r="W15" s="71"/>
      <c r="X15" s="72"/>
      <c r="Y15" s="71"/>
      <c r="Z15" s="72"/>
      <c r="AA15" s="71"/>
      <c r="AB15" s="73"/>
      <c r="AC15" s="73"/>
      <c r="AD15" s="73"/>
      <c r="AE15" s="72"/>
    </row>
    <row r="16" spans="1:31">
      <c r="A16" s="62">
        <v>11</v>
      </c>
      <c r="B16" s="41" t="s">
        <v>74</v>
      </c>
      <c r="C16" s="62">
        <v>640</v>
      </c>
      <c r="D16" s="57">
        <v>42.666666666666664</v>
      </c>
      <c r="E16" s="57">
        <v>41.922222222222224</v>
      </c>
      <c r="F16" s="57">
        <v>42.294444444444444</v>
      </c>
      <c r="G16" s="62">
        <v>11</v>
      </c>
      <c r="H16" s="70"/>
      <c r="I16" s="71"/>
      <c r="J16" s="72"/>
      <c r="K16" s="71"/>
      <c r="L16" s="72"/>
      <c r="M16" s="71"/>
      <c r="N16" s="72"/>
      <c r="O16" s="71"/>
      <c r="P16" s="72"/>
      <c r="Q16" s="71"/>
      <c r="R16" s="72"/>
      <c r="S16" s="71"/>
      <c r="T16" s="72"/>
      <c r="U16" s="71"/>
      <c r="V16" s="72"/>
      <c r="W16" s="71"/>
      <c r="X16" s="72"/>
      <c r="Y16" s="71"/>
      <c r="Z16" s="72"/>
      <c r="AA16" s="71"/>
      <c r="AB16" s="73"/>
      <c r="AC16" s="74"/>
      <c r="AD16" s="73"/>
      <c r="AE16" s="72"/>
    </row>
    <row r="17" spans="1:31">
      <c r="A17" s="62">
        <v>12</v>
      </c>
      <c r="B17" s="41" t="s">
        <v>43</v>
      </c>
      <c r="C17" s="62">
        <v>648</v>
      </c>
      <c r="D17" s="57">
        <v>43.2</v>
      </c>
      <c r="E17" s="57">
        <v>41.190476190476183</v>
      </c>
      <c r="F17" s="57">
        <v>42.195238095238096</v>
      </c>
      <c r="G17" s="62">
        <v>12</v>
      </c>
      <c r="H17" s="70"/>
      <c r="I17" s="71"/>
      <c r="J17" s="72"/>
      <c r="K17" s="75"/>
      <c r="L17" s="72"/>
      <c r="M17" s="71"/>
      <c r="N17" s="72"/>
      <c r="O17" s="71"/>
      <c r="P17" s="72"/>
      <c r="Q17" s="71"/>
      <c r="R17" s="72"/>
      <c r="S17" s="71"/>
      <c r="T17" s="72"/>
      <c r="U17" s="71"/>
      <c r="V17" s="72"/>
      <c r="W17" s="71"/>
      <c r="X17" s="72"/>
      <c r="Y17" s="71"/>
      <c r="Z17" s="72"/>
      <c r="AA17" s="71"/>
      <c r="AB17" s="73"/>
      <c r="AC17" s="74"/>
      <c r="AD17" s="73"/>
      <c r="AE17" s="72"/>
    </row>
    <row r="18" spans="1:31">
      <c r="A18" s="62">
        <v>13</v>
      </c>
      <c r="B18" s="41" t="s">
        <v>10</v>
      </c>
      <c r="C18" s="62">
        <v>679</v>
      </c>
      <c r="D18" s="57">
        <v>45.266666666666666</v>
      </c>
      <c r="E18" s="57">
        <v>38.152380952380952</v>
      </c>
      <c r="F18" s="57">
        <v>41.709523809523809</v>
      </c>
      <c r="G18" s="62">
        <v>13</v>
      </c>
      <c r="H18" s="70"/>
      <c r="I18" s="71"/>
      <c r="J18" s="72"/>
      <c r="K18" s="71"/>
      <c r="L18" s="72"/>
      <c r="M18" s="71"/>
      <c r="N18" s="72"/>
      <c r="O18" s="71"/>
      <c r="P18" s="72"/>
      <c r="Q18" s="71"/>
      <c r="R18" s="72"/>
      <c r="S18" s="71"/>
      <c r="T18" s="72"/>
      <c r="U18" s="71"/>
      <c r="V18" s="72"/>
      <c r="W18" s="71"/>
      <c r="X18" s="72"/>
      <c r="Y18" s="71"/>
      <c r="Z18" s="72"/>
      <c r="AA18" s="71"/>
      <c r="AB18" s="73"/>
      <c r="AC18" s="74"/>
      <c r="AD18" s="73"/>
      <c r="AE18" s="72"/>
    </row>
    <row r="19" spans="1:31">
      <c r="A19" s="62">
        <v>14</v>
      </c>
      <c r="B19" s="41" t="s">
        <v>26</v>
      </c>
      <c r="C19" s="62">
        <v>619</v>
      </c>
      <c r="D19" s="57">
        <v>41.266666666666666</v>
      </c>
      <c r="E19" s="57">
        <v>41.485714285714288</v>
      </c>
      <c r="F19" s="57">
        <v>41.376190476190473</v>
      </c>
      <c r="G19" s="62">
        <v>14</v>
      </c>
      <c r="H19" s="70"/>
      <c r="I19" s="71"/>
      <c r="J19" s="72"/>
      <c r="K19" s="71"/>
      <c r="L19" s="72"/>
      <c r="M19" s="71"/>
      <c r="N19" s="72"/>
      <c r="O19" s="71"/>
      <c r="P19" s="72"/>
      <c r="Q19" s="71"/>
      <c r="R19" s="72"/>
      <c r="S19" s="71"/>
      <c r="T19" s="72"/>
      <c r="U19" s="71"/>
      <c r="V19" s="72"/>
      <c r="W19" s="71"/>
      <c r="X19" s="72"/>
      <c r="Y19" s="71"/>
      <c r="Z19" s="72"/>
      <c r="AA19" s="71"/>
      <c r="AB19" s="73"/>
      <c r="AC19" s="74"/>
      <c r="AD19" s="73"/>
      <c r="AE19" s="72"/>
    </row>
    <row r="20" spans="1:31">
      <c r="A20" s="62">
        <v>15</v>
      </c>
      <c r="B20" s="41" t="s">
        <v>27</v>
      </c>
      <c r="C20" s="62">
        <v>631</v>
      </c>
      <c r="D20" s="57">
        <v>42.06666666666667</v>
      </c>
      <c r="E20" s="57">
        <v>39.806349206349203</v>
      </c>
      <c r="F20" s="57">
        <v>40.936507936507937</v>
      </c>
      <c r="G20" s="62">
        <v>15</v>
      </c>
      <c r="H20" s="70"/>
      <c r="I20" s="71"/>
      <c r="J20" s="72"/>
      <c r="K20" s="71"/>
      <c r="L20" s="72"/>
      <c r="M20" s="71"/>
      <c r="N20" s="72"/>
      <c r="O20" s="71"/>
      <c r="P20" s="72"/>
      <c r="Q20" s="71"/>
      <c r="R20" s="72"/>
      <c r="S20" s="71"/>
      <c r="T20" s="72"/>
      <c r="U20" s="71"/>
      <c r="V20" s="72"/>
      <c r="W20" s="71"/>
      <c r="X20" s="72"/>
      <c r="Y20" s="71"/>
      <c r="Z20" s="72"/>
      <c r="AA20" s="71"/>
      <c r="AB20" s="73"/>
      <c r="AC20" s="74"/>
      <c r="AD20" s="73"/>
      <c r="AE20" s="72"/>
    </row>
    <row r="21" spans="1:31">
      <c r="A21" s="62">
        <v>16</v>
      </c>
      <c r="B21" s="41" t="s">
        <v>28</v>
      </c>
      <c r="C21" s="62">
        <v>614</v>
      </c>
      <c r="D21" s="57">
        <v>40.93333333333333</v>
      </c>
      <c r="E21" s="57">
        <v>39.36349206349206</v>
      </c>
      <c r="F21" s="57">
        <v>40.148412698412699</v>
      </c>
      <c r="G21" s="62">
        <v>16</v>
      </c>
      <c r="H21" s="70"/>
      <c r="I21" s="71"/>
      <c r="J21" s="72"/>
      <c r="K21" s="71"/>
      <c r="L21" s="72"/>
      <c r="M21" s="71"/>
      <c r="N21" s="72"/>
      <c r="O21" s="71"/>
      <c r="P21" s="72"/>
      <c r="Q21" s="71"/>
      <c r="R21" s="72"/>
      <c r="S21" s="71"/>
      <c r="T21" s="72"/>
      <c r="U21" s="71"/>
      <c r="V21" s="72"/>
      <c r="W21" s="71"/>
      <c r="X21" s="72"/>
      <c r="Y21" s="71"/>
      <c r="Z21" s="72"/>
      <c r="AA21" s="71"/>
      <c r="AB21" s="73"/>
      <c r="AC21" s="74"/>
      <c r="AD21" s="73"/>
      <c r="AE21" s="72"/>
    </row>
    <row r="22" spans="1:31">
      <c r="A22" s="62">
        <v>17</v>
      </c>
      <c r="B22" s="41" t="s">
        <v>24</v>
      </c>
      <c r="C22" s="62">
        <v>598</v>
      </c>
      <c r="D22" s="57">
        <v>39.866666666666667</v>
      </c>
      <c r="E22" s="57">
        <v>39.893650793650792</v>
      </c>
      <c r="F22" s="57">
        <v>39.880158730158726</v>
      </c>
      <c r="G22" s="62">
        <v>17</v>
      </c>
      <c r="H22" s="70"/>
      <c r="I22" s="71"/>
      <c r="J22" s="72"/>
      <c r="K22" s="71"/>
      <c r="L22" s="72"/>
      <c r="M22" s="71"/>
      <c r="N22" s="72"/>
      <c r="O22" s="71"/>
      <c r="P22" s="72"/>
      <c r="Q22" s="71"/>
      <c r="R22" s="72"/>
      <c r="S22" s="71"/>
      <c r="T22" s="72"/>
      <c r="U22" s="71"/>
      <c r="V22" s="72"/>
      <c r="W22" s="71"/>
      <c r="X22" s="72"/>
      <c r="Y22" s="71"/>
      <c r="Z22" s="72"/>
      <c r="AA22" s="71"/>
      <c r="AB22" s="73"/>
      <c r="AC22" s="71"/>
      <c r="AD22" s="73"/>
      <c r="AE22" s="72"/>
    </row>
    <row r="23" spans="1:31">
      <c r="A23" s="62">
        <v>18</v>
      </c>
      <c r="B23" s="41" t="s">
        <v>40</v>
      </c>
      <c r="C23" s="62">
        <v>587</v>
      </c>
      <c r="D23" s="57">
        <v>39.133333333333333</v>
      </c>
      <c r="E23" s="57">
        <v>37.211111111111109</v>
      </c>
      <c r="F23" s="57">
        <v>38.172222222222217</v>
      </c>
      <c r="G23" s="62">
        <v>18</v>
      </c>
      <c r="H23" s="70"/>
      <c r="I23" s="71"/>
      <c r="J23" s="72"/>
      <c r="K23" s="75"/>
      <c r="L23" s="72"/>
      <c r="M23" s="71"/>
      <c r="N23" s="72"/>
      <c r="O23" s="71"/>
      <c r="P23" s="72"/>
      <c r="Q23" s="71"/>
      <c r="R23" s="72"/>
      <c r="S23" s="71"/>
      <c r="T23" s="72"/>
      <c r="U23" s="71"/>
      <c r="V23" s="72"/>
      <c r="W23" s="71"/>
      <c r="X23" s="72"/>
      <c r="Y23" s="71"/>
      <c r="Z23" s="72"/>
      <c r="AA23" s="71"/>
      <c r="AB23" s="73"/>
      <c r="AC23" s="73"/>
      <c r="AD23" s="73"/>
      <c r="AE23" s="72"/>
    </row>
    <row r="24" spans="1:31">
      <c r="A24" s="62">
        <v>19</v>
      </c>
      <c r="B24" s="41" t="s">
        <v>49</v>
      </c>
      <c r="C24" s="62">
        <v>601</v>
      </c>
      <c r="D24" s="57">
        <v>40.06666666666667</v>
      </c>
      <c r="E24" s="57">
        <v>35.273015873015872</v>
      </c>
      <c r="F24" s="57">
        <v>37.669841269841271</v>
      </c>
      <c r="G24" s="62">
        <v>19</v>
      </c>
      <c r="H24" s="70"/>
      <c r="I24" s="71"/>
      <c r="J24" s="72"/>
      <c r="K24" s="75"/>
      <c r="L24" s="72"/>
      <c r="M24" s="71"/>
      <c r="N24" s="72"/>
      <c r="O24" s="71"/>
      <c r="P24" s="72"/>
      <c r="Q24" s="71"/>
      <c r="R24" s="72"/>
      <c r="S24" s="71"/>
      <c r="T24" s="72"/>
      <c r="U24" s="71"/>
      <c r="V24" s="72"/>
      <c r="W24" s="71"/>
      <c r="X24" s="72"/>
      <c r="Y24" s="71"/>
      <c r="Z24" s="72"/>
      <c r="AA24" s="71"/>
      <c r="AB24" s="73"/>
      <c r="AC24" s="73"/>
      <c r="AD24" s="73"/>
      <c r="AE24" s="72"/>
    </row>
    <row r="25" spans="1:31">
      <c r="A25" s="62">
        <v>20</v>
      </c>
      <c r="B25" s="41" t="s">
        <v>25</v>
      </c>
      <c r="C25" s="62">
        <v>591</v>
      </c>
      <c r="D25" s="57">
        <v>39.4</v>
      </c>
      <c r="E25" s="57">
        <v>34.726984126984128</v>
      </c>
      <c r="F25" s="57">
        <v>37.063492063492063</v>
      </c>
      <c r="G25" s="62">
        <v>20</v>
      </c>
      <c r="H25" s="70"/>
      <c r="I25" s="71"/>
      <c r="J25" s="72"/>
      <c r="K25" s="71"/>
      <c r="L25" s="72"/>
      <c r="M25" s="71"/>
      <c r="N25" s="72"/>
      <c r="O25" s="71"/>
      <c r="P25" s="72"/>
      <c r="Q25" s="71"/>
      <c r="R25" s="72"/>
      <c r="S25" s="71"/>
      <c r="T25" s="72"/>
      <c r="U25" s="71"/>
      <c r="V25" s="72"/>
      <c r="W25" s="71"/>
      <c r="X25" s="72"/>
      <c r="Y25" s="71"/>
      <c r="Z25" s="72"/>
      <c r="AA25" s="71"/>
      <c r="AB25" s="73"/>
      <c r="AC25" s="74"/>
      <c r="AD25" s="73"/>
      <c r="AE25" s="72"/>
    </row>
    <row r="26" spans="1:31">
      <c r="A26" s="62">
        <v>21</v>
      </c>
      <c r="B26" s="41" t="s">
        <v>14</v>
      </c>
      <c r="C26" s="62">
        <v>546</v>
      </c>
      <c r="D26" s="57">
        <v>36.4</v>
      </c>
      <c r="E26" s="57">
        <v>37.388888888888893</v>
      </c>
      <c r="F26" s="57">
        <v>36.894444444444446</v>
      </c>
      <c r="G26" s="62">
        <v>21</v>
      </c>
      <c r="H26" s="70"/>
      <c r="I26" s="71"/>
      <c r="J26" s="72"/>
      <c r="K26" s="75"/>
      <c r="L26" s="72"/>
      <c r="M26" s="71"/>
      <c r="N26" s="72"/>
      <c r="O26" s="71"/>
      <c r="P26" s="72"/>
      <c r="Q26" s="71"/>
      <c r="R26" s="72"/>
      <c r="S26" s="71"/>
      <c r="T26" s="72"/>
      <c r="U26" s="71"/>
      <c r="V26" s="72"/>
      <c r="W26" s="71"/>
      <c r="X26" s="72"/>
      <c r="Y26" s="71"/>
      <c r="Z26" s="72"/>
      <c r="AA26" s="71"/>
      <c r="AB26" s="73"/>
      <c r="AC26" s="74"/>
      <c r="AD26" s="73"/>
      <c r="AE26" s="72"/>
    </row>
    <row r="27" spans="1:31">
      <c r="A27" s="62">
        <v>22</v>
      </c>
      <c r="B27" s="41" t="s">
        <v>7</v>
      </c>
      <c r="C27" s="62">
        <v>515</v>
      </c>
      <c r="D27" s="57">
        <v>34.333333333333336</v>
      </c>
      <c r="E27" s="57">
        <v>36.495238095238101</v>
      </c>
      <c r="F27" s="57">
        <v>35.414285714285718</v>
      </c>
      <c r="G27" s="62">
        <v>22</v>
      </c>
      <c r="H27" s="70"/>
      <c r="I27" s="71"/>
      <c r="J27" s="72"/>
      <c r="K27" s="75"/>
      <c r="L27" s="72"/>
      <c r="M27" s="71"/>
      <c r="N27" s="72"/>
      <c r="O27" s="71"/>
      <c r="P27" s="72"/>
      <c r="Q27" s="71"/>
      <c r="R27" s="72"/>
      <c r="S27" s="71"/>
      <c r="T27" s="72"/>
      <c r="U27" s="71"/>
      <c r="V27" s="72"/>
      <c r="W27" s="71"/>
      <c r="X27" s="72"/>
      <c r="Y27" s="71"/>
      <c r="Z27" s="72"/>
      <c r="AA27" s="71"/>
      <c r="AB27" s="73"/>
      <c r="AC27" s="74"/>
      <c r="AD27" s="73"/>
      <c r="AE27" s="72"/>
    </row>
    <row r="28" spans="1:31">
      <c r="A28" s="62">
        <v>23</v>
      </c>
      <c r="B28" s="41" t="s">
        <v>22</v>
      </c>
      <c r="C28" s="62">
        <v>559</v>
      </c>
      <c r="D28" s="57">
        <v>37.266666666666666</v>
      </c>
      <c r="E28" s="57">
        <v>33.374603174603173</v>
      </c>
      <c r="F28" s="57">
        <v>35.320634920634916</v>
      </c>
      <c r="G28" s="62">
        <v>23</v>
      </c>
      <c r="H28" s="70"/>
      <c r="I28" s="71"/>
      <c r="J28" s="72"/>
      <c r="K28" s="75"/>
      <c r="L28" s="72"/>
      <c r="M28" s="71"/>
      <c r="N28" s="72"/>
      <c r="O28" s="71"/>
      <c r="P28" s="72"/>
      <c r="Q28" s="71"/>
      <c r="R28" s="72"/>
      <c r="S28" s="71"/>
      <c r="T28" s="72"/>
      <c r="U28" s="71"/>
      <c r="V28" s="72"/>
      <c r="W28" s="71"/>
      <c r="X28" s="72"/>
      <c r="Y28" s="71"/>
      <c r="Z28" s="72"/>
      <c r="AA28" s="71"/>
      <c r="AB28" s="73"/>
      <c r="AC28" s="74"/>
      <c r="AD28" s="73"/>
      <c r="AE28" s="72"/>
    </row>
    <row r="29" spans="1:31">
      <c r="A29" s="62">
        <v>24</v>
      </c>
      <c r="B29" s="41" t="s">
        <v>21</v>
      </c>
      <c r="C29" s="62">
        <v>549</v>
      </c>
      <c r="D29" s="57">
        <v>36.6</v>
      </c>
      <c r="E29" s="57">
        <v>33.893650793650799</v>
      </c>
      <c r="F29" s="57">
        <v>35.2468253968254</v>
      </c>
      <c r="G29" s="62">
        <v>24</v>
      </c>
      <c r="H29" s="70"/>
      <c r="I29" s="71"/>
      <c r="J29" s="72"/>
      <c r="K29" s="71"/>
      <c r="L29" s="72"/>
      <c r="M29" s="71"/>
      <c r="N29" s="72"/>
      <c r="O29" s="71"/>
      <c r="P29" s="72"/>
      <c r="Q29" s="71"/>
      <c r="R29" s="72"/>
      <c r="S29" s="71"/>
      <c r="T29" s="72"/>
      <c r="U29" s="71"/>
      <c r="V29" s="72"/>
      <c r="W29" s="71"/>
      <c r="X29" s="72"/>
      <c r="Y29" s="71"/>
      <c r="Z29" s="72"/>
      <c r="AA29" s="71"/>
      <c r="AB29" s="73"/>
      <c r="AC29" s="74"/>
      <c r="AD29" s="73"/>
      <c r="AE29" s="72"/>
    </row>
    <row r="30" spans="1:31">
      <c r="A30" s="62">
        <v>25</v>
      </c>
      <c r="B30" s="41" t="s">
        <v>38</v>
      </c>
      <c r="C30" s="62">
        <v>524</v>
      </c>
      <c r="D30" s="57">
        <v>34.93333333333333</v>
      </c>
      <c r="E30" s="57">
        <v>34.807936507936503</v>
      </c>
      <c r="F30" s="57">
        <v>34.870634920634913</v>
      </c>
      <c r="G30" s="62">
        <v>25</v>
      </c>
      <c r="H30" s="70"/>
      <c r="I30" s="71"/>
      <c r="J30" s="72"/>
      <c r="K30" s="71"/>
      <c r="L30" s="72"/>
      <c r="M30" s="71"/>
      <c r="N30" s="72"/>
      <c r="O30" s="71"/>
      <c r="P30" s="72"/>
      <c r="Q30" s="71"/>
      <c r="R30" s="72"/>
      <c r="S30" s="71"/>
      <c r="T30" s="72"/>
      <c r="U30" s="71"/>
      <c r="V30" s="72"/>
      <c r="W30" s="71"/>
      <c r="X30" s="72"/>
      <c r="Y30" s="71"/>
      <c r="Z30" s="72"/>
      <c r="AA30" s="71"/>
      <c r="AB30" s="73"/>
      <c r="AC30" s="74"/>
      <c r="AD30" s="73"/>
      <c r="AE30" s="72"/>
    </row>
    <row r="31" spans="1:31">
      <c r="A31" s="62">
        <v>26</v>
      </c>
      <c r="B31" s="41" t="s">
        <v>20</v>
      </c>
      <c r="C31" s="62">
        <v>565</v>
      </c>
      <c r="D31" s="57">
        <v>37.666666666666664</v>
      </c>
      <c r="E31" s="57">
        <v>31.633333333333336</v>
      </c>
      <c r="F31" s="57">
        <v>34.65</v>
      </c>
      <c r="G31" s="62">
        <v>26</v>
      </c>
      <c r="H31" s="70"/>
      <c r="I31" s="71"/>
      <c r="J31" s="72"/>
      <c r="K31" s="75"/>
      <c r="L31" s="72"/>
      <c r="M31" s="71"/>
      <c r="N31" s="72"/>
      <c r="O31" s="71"/>
      <c r="P31" s="72"/>
      <c r="Q31" s="71"/>
      <c r="R31" s="72"/>
      <c r="S31" s="71"/>
      <c r="T31" s="72"/>
      <c r="U31" s="71"/>
      <c r="V31" s="72"/>
      <c r="W31" s="71"/>
      <c r="X31" s="72"/>
      <c r="Y31" s="71"/>
      <c r="Z31" s="72"/>
      <c r="AA31" s="71"/>
      <c r="AB31" s="73"/>
      <c r="AC31" s="74"/>
      <c r="AD31" s="73"/>
      <c r="AE31" s="72"/>
    </row>
    <row r="32" spans="1:31">
      <c r="A32" s="62">
        <v>27</v>
      </c>
      <c r="B32" s="41" t="s">
        <v>15</v>
      </c>
      <c r="C32" s="62">
        <v>568</v>
      </c>
      <c r="D32" s="57">
        <v>37.866666666666667</v>
      </c>
      <c r="E32" s="57">
        <v>30.644444444444446</v>
      </c>
      <c r="F32" s="57">
        <v>34.25555555555556</v>
      </c>
      <c r="G32" s="62">
        <v>27</v>
      </c>
      <c r="H32" s="70"/>
      <c r="I32" s="71"/>
      <c r="J32" s="72"/>
      <c r="K32" s="75"/>
      <c r="L32" s="72"/>
      <c r="M32" s="71"/>
      <c r="N32" s="72"/>
      <c r="O32" s="71"/>
      <c r="P32" s="72"/>
      <c r="Q32" s="71"/>
      <c r="R32" s="72"/>
      <c r="S32" s="71"/>
      <c r="T32" s="72"/>
      <c r="U32" s="71"/>
      <c r="V32" s="72"/>
      <c r="W32" s="71"/>
      <c r="X32" s="72"/>
      <c r="Y32" s="71"/>
      <c r="Z32" s="72"/>
      <c r="AA32" s="71"/>
      <c r="AB32" s="73"/>
      <c r="AC32" s="73"/>
      <c r="AD32" s="73"/>
      <c r="AE32" s="72"/>
    </row>
    <row r="33" spans="1:31">
      <c r="A33" s="62">
        <v>28</v>
      </c>
      <c r="B33" s="41" t="s">
        <v>45</v>
      </c>
      <c r="C33" s="62">
        <v>529</v>
      </c>
      <c r="D33" s="57">
        <v>35.266666666666666</v>
      </c>
      <c r="E33" s="57">
        <v>32.19047619047619</v>
      </c>
      <c r="F33" s="57">
        <v>33.728571428571428</v>
      </c>
      <c r="G33" s="62">
        <v>28</v>
      </c>
      <c r="H33" s="70"/>
      <c r="I33" s="71"/>
      <c r="J33" s="72"/>
      <c r="K33" s="71"/>
      <c r="L33" s="72"/>
      <c r="M33" s="71"/>
      <c r="N33" s="72"/>
      <c r="O33" s="71"/>
      <c r="P33" s="72"/>
      <c r="Q33" s="71"/>
      <c r="R33" s="72"/>
      <c r="S33" s="71"/>
      <c r="T33" s="72"/>
      <c r="U33" s="71"/>
      <c r="V33" s="72"/>
      <c r="W33" s="71"/>
      <c r="X33" s="72"/>
      <c r="Y33" s="71"/>
      <c r="Z33" s="72"/>
      <c r="AA33" s="71"/>
      <c r="AB33" s="73"/>
      <c r="AC33" s="74"/>
      <c r="AD33" s="73"/>
      <c r="AE33" s="72"/>
    </row>
    <row r="34" spans="1:31">
      <c r="A34" s="62">
        <v>29</v>
      </c>
      <c r="B34" s="41" t="s">
        <v>9</v>
      </c>
      <c r="C34" s="62">
        <v>545</v>
      </c>
      <c r="D34" s="57">
        <v>36.333333333333336</v>
      </c>
      <c r="E34" s="57">
        <v>29.687301587301587</v>
      </c>
      <c r="F34" s="57">
        <v>33.010317460317459</v>
      </c>
      <c r="G34" s="62">
        <v>29</v>
      </c>
      <c r="H34" s="70"/>
      <c r="I34" s="71"/>
      <c r="J34" s="72"/>
      <c r="K34" s="71"/>
      <c r="L34" s="72"/>
      <c r="M34" s="71"/>
      <c r="N34" s="72"/>
      <c r="O34" s="71"/>
      <c r="P34" s="72"/>
      <c r="Q34" s="71"/>
      <c r="R34" s="72"/>
      <c r="S34" s="71"/>
      <c r="T34" s="72"/>
      <c r="U34" s="71"/>
      <c r="V34" s="72"/>
      <c r="W34" s="71"/>
      <c r="X34" s="72"/>
      <c r="Y34" s="71"/>
      <c r="Z34" s="72"/>
      <c r="AA34" s="71"/>
      <c r="AB34" s="73"/>
      <c r="AC34" s="74"/>
      <c r="AD34" s="73"/>
      <c r="AE34" s="72"/>
    </row>
    <row r="35" spans="1:31">
      <c r="A35" s="62">
        <v>30</v>
      </c>
      <c r="B35" s="41" t="s">
        <v>34</v>
      </c>
      <c r="C35" s="62">
        <v>562</v>
      </c>
      <c r="D35" s="57">
        <v>37.466666666666669</v>
      </c>
      <c r="E35" s="57">
        <v>27.858730158730157</v>
      </c>
      <c r="F35" s="57">
        <v>32.662698412698411</v>
      </c>
      <c r="G35" s="62">
        <v>30</v>
      </c>
      <c r="H35" s="70"/>
      <c r="I35" s="71"/>
      <c r="J35" s="72"/>
      <c r="K35" s="71"/>
      <c r="L35" s="72"/>
      <c r="M35" s="71"/>
      <c r="N35" s="72"/>
      <c r="O35" s="71"/>
      <c r="P35" s="72"/>
      <c r="Q35" s="71"/>
      <c r="R35" s="72"/>
      <c r="S35" s="71"/>
      <c r="T35" s="72"/>
      <c r="U35" s="71"/>
      <c r="V35" s="72"/>
      <c r="W35" s="71"/>
      <c r="X35" s="72"/>
      <c r="Y35" s="71"/>
      <c r="Z35" s="72"/>
      <c r="AA35" s="71"/>
      <c r="AB35" s="73"/>
      <c r="AC35" s="74"/>
      <c r="AD35" s="73"/>
      <c r="AE35" s="72"/>
    </row>
    <row r="36" spans="1:31">
      <c r="A36" s="62">
        <v>31</v>
      </c>
      <c r="B36" s="41" t="s">
        <v>16</v>
      </c>
      <c r="C36" s="62">
        <v>522</v>
      </c>
      <c r="D36" s="57">
        <v>34.799999999999997</v>
      </c>
      <c r="E36" s="57">
        <v>28.925396825396827</v>
      </c>
      <c r="F36" s="57">
        <v>31.862698412698414</v>
      </c>
      <c r="G36" s="62">
        <v>31</v>
      </c>
      <c r="H36" s="70"/>
      <c r="I36" s="71"/>
      <c r="J36" s="72"/>
      <c r="K36" s="71"/>
      <c r="L36" s="72"/>
      <c r="M36" s="71"/>
      <c r="N36" s="72"/>
      <c r="O36" s="71"/>
      <c r="P36" s="72"/>
      <c r="Q36" s="71"/>
      <c r="R36" s="72"/>
      <c r="S36" s="71"/>
      <c r="T36" s="72"/>
      <c r="U36" s="71"/>
      <c r="V36" s="72"/>
      <c r="W36" s="71"/>
      <c r="X36" s="72"/>
      <c r="Y36" s="71"/>
      <c r="Z36" s="72"/>
      <c r="AA36" s="71"/>
      <c r="AB36" s="73"/>
      <c r="AC36" s="74"/>
      <c r="AD36" s="73"/>
      <c r="AE36" s="72"/>
    </row>
    <row r="37" spans="1:31">
      <c r="A37" s="62">
        <v>32</v>
      </c>
      <c r="B37" s="41" t="s">
        <v>48</v>
      </c>
      <c r="C37" s="62">
        <v>514</v>
      </c>
      <c r="D37" s="57">
        <v>34.266666666666666</v>
      </c>
      <c r="E37" s="57">
        <v>29.095238095238098</v>
      </c>
      <c r="F37" s="57">
        <v>31.680952380952384</v>
      </c>
      <c r="G37" s="62">
        <v>32</v>
      </c>
      <c r="H37" s="70"/>
      <c r="I37" s="71"/>
      <c r="J37" s="72"/>
      <c r="K37" s="75"/>
      <c r="L37" s="72"/>
      <c r="M37" s="71"/>
      <c r="N37" s="72"/>
      <c r="O37" s="71"/>
      <c r="P37" s="72"/>
      <c r="Q37" s="71"/>
      <c r="R37" s="72"/>
      <c r="S37" s="71"/>
      <c r="T37" s="72"/>
      <c r="U37" s="71"/>
      <c r="V37" s="72"/>
      <c r="W37" s="71"/>
      <c r="X37" s="72"/>
      <c r="Y37" s="71"/>
      <c r="Z37" s="72"/>
      <c r="AA37" s="71"/>
      <c r="AB37" s="73"/>
      <c r="AC37" s="74"/>
      <c r="AD37" s="73"/>
      <c r="AE37" s="72"/>
    </row>
    <row r="38" spans="1:31">
      <c r="A38" s="62">
        <v>33</v>
      </c>
      <c r="B38" s="41" t="s">
        <v>30</v>
      </c>
      <c r="C38" s="62">
        <v>510</v>
      </c>
      <c r="D38" s="57">
        <v>34</v>
      </c>
      <c r="E38" s="57">
        <v>28.953968253968252</v>
      </c>
      <c r="F38" s="57">
        <v>31.476984126984128</v>
      </c>
      <c r="G38" s="62">
        <v>33</v>
      </c>
      <c r="H38" s="70"/>
      <c r="I38" s="71"/>
      <c r="J38" s="72"/>
      <c r="K38" s="71"/>
      <c r="L38" s="72"/>
      <c r="M38" s="71"/>
      <c r="N38" s="72"/>
      <c r="O38" s="71"/>
      <c r="P38" s="72"/>
      <c r="Q38" s="71"/>
      <c r="R38" s="72"/>
      <c r="S38" s="71"/>
      <c r="T38" s="72"/>
      <c r="U38" s="71"/>
      <c r="V38" s="72"/>
      <c r="W38" s="71"/>
      <c r="X38" s="72"/>
      <c r="Y38" s="71"/>
      <c r="Z38" s="72"/>
      <c r="AA38" s="71"/>
      <c r="AB38" s="73"/>
      <c r="AC38" s="74"/>
      <c r="AD38" s="73"/>
      <c r="AE38" s="72"/>
    </row>
    <row r="39" spans="1:31">
      <c r="A39" s="62">
        <v>34</v>
      </c>
      <c r="B39" s="41" t="s">
        <v>46</v>
      </c>
      <c r="C39" s="62">
        <v>520</v>
      </c>
      <c r="D39" s="57">
        <v>34.666666666666664</v>
      </c>
      <c r="E39" s="57">
        <v>28.150793650793656</v>
      </c>
      <c r="F39" s="57">
        <v>31.408730158730158</v>
      </c>
      <c r="G39" s="62">
        <v>34</v>
      </c>
      <c r="H39" s="70"/>
      <c r="I39" s="71"/>
      <c r="J39" s="72"/>
      <c r="K39" s="71"/>
      <c r="L39" s="72"/>
      <c r="M39" s="71"/>
      <c r="N39" s="72"/>
      <c r="O39" s="71"/>
      <c r="P39" s="72"/>
      <c r="Q39" s="71"/>
      <c r="R39" s="72"/>
      <c r="S39" s="71"/>
      <c r="T39" s="72"/>
      <c r="U39" s="71"/>
      <c r="V39" s="72"/>
      <c r="W39" s="71"/>
      <c r="X39" s="72"/>
      <c r="Y39" s="71"/>
      <c r="Z39" s="72"/>
      <c r="AA39" s="71"/>
      <c r="AB39" s="73"/>
      <c r="AC39" s="73"/>
      <c r="AD39" s="73"/>
      <c r="AE39" s="72"/>
    </row>
    <row r="40" spans="1:31">
      <c r="A40" s="62">
        <v>35</v>
      </c>
      <c r="B40" s="41" t="s">
        <v>37</v>
      </c>
      <c r="C40" s="62">
        <v>527</v>
      </c>
      <c r="D40" s="57">
        <v>35.133333333333333</v>
      </c>
      <c r="E40" s="57">
        <v>27.638095238095236</v>
      </c>
      <c r="F40" s="57">
        <v>31.385714285714286</v>
      </c>
      <c r="G40" s="62">
        <v>35</v>
      </c>
      <c r="H40" s="70"/>
      <c r="I40" s="71"/>
      <c r="J40" s="72"/>
      <c r="K40" s="71"/>
      <c r="L40" s="72"/>
      <c r="M40" s="71"/>
      <c r="N40" s="72"/>
      <c r="O40" s="71"/>
      <c r="P40" s="72"/>
      <c r="Q40" s="71"/>
      <c r="R40" s="72"/>
      <c r="S40" s="71"/>
      <c r="T40" s="72"/>
      <c r="U40" s="71"/>
      <c r="V40" s="72"/>
      <c r="W40" s="71"/>
      <c r="X40" s="72"/>
      <c r="Y40" s="71"/>
      <c r="Z40" s="72"/>
      <c r="AA40" s="71"/>
      <c r="AB40" s="73"/>
      <c r="AC40" s="74"/>
      <c r="AD40" s="73"/>
      <c r="AE40" s="72"/>
    </row>
    <row r="41" spans="1:31">
      <c r="A41" s="62">
        <v>36</v>
      </c>
      <c r="B41" s="41" t="s">
        <v>52</v>
      </c>
      <c r="C41" s="62">
        <v>544</v>
      </c>
      <c r="D41" s="57">
        <v>36.266666666666666</v>
      </c>
      <c r="E41" s="57">
        <v>25.733333333333334</v>
      </c>
      <c r="F41" s="57">
        <v>31</v>
      </c>
      <c r="G41" s="62">
        <v>36</v>
      </c>
      <c r="H41" s="70"/>
      <c r="I41" s="71"/>
      <c r="J41" s="72"/>
      <c r="K41" s="71"/>
      <c r="L41" s="72"/>
      <c r="M41" s="71"/>
      <c r="N41" s="72"/>
      <c r="O41" s="71"/>
      <c r="P41" s="72"/>
      <c r="Q41" s="71"/>
      <c r="R41" s="72"/>
      <c r="S41" s="71"/>
      <c r="T41" s="72"/>
      <c r="U41" s="71"/>
      <c r="V41" s="72"/>
      <c r="W41" s="71"/>
      <c r="X41" s="72"/>
      <c r="Y41" s="71"/>
      <c r="Z41" s="72"/>
      <c r="AA41" s="71"/>
      <c r="AB41" s="73"/>
      <c r="AC41" s="74"/>
      <c r="AD41" s="73"/>
      <c r="AE41" s="72"/>
    </row>
    <row r="42" spans="1:31">
      <c r="A42" s="62">
        <v>37</v>
      </c>
      <c r="B42" s="41" t="s">
        <v>41</v>
      </c>
      <c r="C42" s="62">
        <v>550</v>
      </c>
      <c r="D42" s="57">
        <v>36.666666666666664</v>
      </c>
      <c r="E42" s="57">
        <v>25.120634920634924</v>
      </c>
      <c r="F42" s="57">
        <v>30.893650793650792</v>
      </c>
      <c r="G42" s="62">
        <v>37</v>
      </c>
      <c r="H42" s="70"/>
      <c r="I42" s="71"/>
      <c r="J42" s="72"/>
      <c r="K42" s="75"/>
      <c r="L42" s="72"/>
      <c r="M42" s="71"/>
      <c r="N42" s="72"/>
      <c r="O42" s="71"/>
      <c r="P42" s="72"/>
      <c r="Q42" s="71"/>
      <c r="R42" s="72"/>
      <c r="S42" s="71"/>
      <c r="T42" s="72"/>
      <c r="U42" s="71"/>
      <c r="V42" s="72"/>
      <c r="W42" s="71"/>
      <c r="X42" s="72"/>
      <c r="Y42" s="71"/>
      <c r="Z42" s="72"/>
      <c r="AA42" s="71"/>
      <c r="AB42" s="73"/>
      <c r="AC42" s="74"/>
      <c r="AD42" s="73"/>
      <c r="AE42" s="72"/>
    </row>
    <row r="43" spans="1:31">
      <c r="A43" s="62">
        <v>38</v>
      </c>
      <c r="B43" s="41" t="s">
        <v>73</v>
      </c>
      <c r="C43" s="62">
        <v>507</v>
      </c>
      <c r="D43" s="57">
        <v>33.799999999999997</v>
      </c>
      <c r="E43" s="57">
        <v>26.987301587301584</v>
      </c>
      <c r="F43" s="57">
        <v>30.393650793650792</v>
      </c>
      <c r="G43" s="62">
        <v>38</v>
      </c>
      <c r="H43" s="70"/>
      <c r="I43" s="71"/>
      <c r="J43" s="72"/>
      <c r="K43" s="75"/>
      <c r="L43" s="72"/>
      <c r="M43" s="71"/>
      <c r="N43" s="72"/>
      <c r="O43" s="71"/>
      <c r="P43" s="72"/>
      <c r="Q43" s="71"/>
      <c r="R43" s="72"/>
      <c r="S43" s="71"/>
      <c r="T43" s="72"/>
      <c r="U43" s="71"/>
      <c r="V43" s="72"/>
      <c r="W43" s="71"/>
      <c r="X43" s="72"/>
      <c r="Y43" s="71"/>
      <c r="Z43" s="72"/>
      <c r="AA43" s="71"/>
      <c r="AB43" s="73"/>
      <c r="AC43" s="73"/>
      <c r="AD43" s="73"/>
      <c r="AE43" s="72"/>
    </row>
    <row r="44" spans="1:31">
      <c r="A44" s="62">
        <v>39</v>
      </c>
      <c r="B44" s="41" t="s">
        <v>11</v>
      </c>
      <c r="C44" s="62">
        <v>494</v>
      </c>
      <c r="D44" s="57">
        <v>32.93333333333333</v>
      </c>
      <c r="E44" s="57">
        <v>26.728571428571428</v>
      </c>
      <c r="F44" s="57">
        <v>29.830952380952379</v>
      </c>
      <c r="G44" s="62">
        <v>39</v>
      </c>
      <c r="H44" s="70"/>
      <c r="I44" s="71"/>
      <c r="J44" s="72"/>
      <c r="K44" s="71"/>
      <c r="L44" s="72"/>
      <c r="M44" s="71"/>
      <c r="N44" s="72"/>
      <c r="O44" s="71"/>
      <c r="P44" s="72"/>
      <c r="Q44" s="71"/>
      <c r="R44" s="72"/>
      <c r="S44" s="71"/>
      <c r="T44" s="72"/>
      <c r="U44" s="71"/>
      <c r="V44" s="72"/>
      <c r="W44" s="71"/>
      <c r="X44" s="72"/>
      <c r="Y44" s="71"/>
      <c r="Z44" s="72"/>
      <c r="AA44" s="71"/>
      <c r="AB44" s="73"/>
      <c r="AC44" s="74"/>
      <c r="AD44" s="73"/>
      <c r="AE44" s="72"/>
    </row>
    <row r="45" spans="1:31">
      <c r="A45" s="62">
        <v>40</v>
      </c>
      <c r="B45" s="41" t="s">
        <v>35</v>
      </c>
      <c r="C45" s="62">
        <v>454</v>
      </c>
      <c r="D45" s="57">
        <v>30.266666666666666</v>
      </c>
      <c r="E45" s="57">
        <v>28.93809523809524</v>
      </c>
      <c r="F45" s="57">
        <v>29.602380952380955</v>
      </c>
      <c r="G45" s="62">
        <v>40</v>
      </c>
      <c r="H45" s="70"/>
      <c r="I45" s="71"/>
      <c r="J45" s="72"/>
      <c r="K45" s="75"/>
      <c r="L45" s="72"/>
      <c r="M45" s="71"/>
      <c r="N45" s="72"/>
      <c r="O45" s="71"/>
      <c r="P45" s="72"/>
      <c r="Q45" s="71"/>
      <c r="R45" s="72"/>
      <c r="S45" s="71"/>
      <c r="T45" s="72"/>
      <c r="U45" s="71"/>
      <c r="V45" s="72"/>
      <c r="W45" s="71"/>
      <c r="X45" s="72"/>
      <c r="Y45" s="71"/>
      <c r="Z45" s="72"/>
      <c r="AA45" s="71"/>
      <c r="AB45" s="73"/>
      <c r="AC45" s="74"/>
      <c r="AD45" s="73"/>
      <c r="AE45" s="72"/>
    </row>
    <row r="46" spans="1:31">
      <c r="A46" s="62">
        <v>41</v>
      </c>
      <c r="B46" s="41" t="s">
        <v>31</v>
      </c>
      <c r="C46" s="62">
        <v>430</v>
      </c>
      <c r="D46" s="57">
        <v>28.666666666666668</v>
      </c>
      <c r="E46" s="57">
        <v>27.365079365079367</v>
      </c>
      <c r="F46" s="57">
        <v>28.015873015873019</v>
      </c>
      <c r="G46" s="62">
        <v>41</v>
      </c>
      <c r="H46" s="70"/>
      <c r="I46" s="71"/>
      <c r="J46" s="72"/>
      <c r="K46" s="75"/>
      <c r="L46" s="72"/>
      <c r="M46" s="71"/>
      <c r="N46" s="72"/>
      <c r="O46" s="71"/>
      <c r="P46" s="72"/>
      <c r="Q46" s="71"/>
      <c r="R46" s="72"/>
      <c r="S46" s="71"/>
      <c r="T46" s="72"/>
      <c r="U46" s="71"/>
      <c r="V46" s="72"/>
      <c r="W46" s="71"/>
      <c r="X46" s="72"/>
      <c r="Y46" s="71"/>
      <c r="Z46" s="72"/>
      <c r="AA46" s="71"/>
      <c r="AB46" s="73"/>
      <c r="AC46" s="74"/>
      <c r="AD46" s="73"/>
      <c r="AE46" s="72"/>
    </row>
    <row r="47" spans="1:31">
      <c r="A47" s="62">
        <v>42</v>
      </c>
      <c r="B47" s="41" t="s">
        <v>13</v>
      </c>
      <c r="C47" s="62">
        <v>379</v>
      </c>
      <c r="D47" s="57">
        <v>25.266666666666666</v>
      </c>
      <c r="E47" s="57">
        <v>30.692063492063493</v>
      </c>
      <c r="F47" s="57">
        <v>27.979365079365081</v>
      </c>
      <c r="G47" s="62">
        <v>42</v>
      </c>
      <c r="H47" s="70"/>
      <c r="I47" s="71"/>
      <c r="J47" s="72"/>
      <c r="K47" s="71"/>
      <c r="L47" s="72"/>
      <c r="M47" s="71"/>
      <c r="N47" s="72"/>
      <c r="O47" s="71"/>
      <c r="P47" s="72"/>
      <c r="Q47" s="71"/>
      <c r="R47" s="72"/>
      <c r="S47" s="71"/>
      <c r="T47" s="72"/>
      <c r="U47" s="71"/>
      <c r="V47" s="72"/>
      <c r="W47" s="71"/>
      <c r="X47" s="72"/>
      <c r="Y47" s="71"/>
      <c r="Z47" s="72"/>
      <c r="AA47" s="71"/>
      <c r="AB47" s="73"/>
      <c r="AC47" s="73"/>
      <c r="AD47" s="73"/>
      <c r="AE47" s="72"/>
    </row>
    <row r="48" spans="1:31">
      <c r="A48" s="62">
        <v>43</v>
      </c>
      <c r="B48" s="41" t="s">
        <v>32</v>
      </c>
      <c r="C48" s="62">
        <v>498</v>
      </c>
      <c r="D48" s="57">
        <v>33.200000000000003</v>
      </c>
      <c r="E48" s="57">
        <v>19.761904761904759</v>
      </c>
      <c r="F48" s="57">
        <v>26.480952380952381</v>
      </c>
      <c r="G48" s="62">
        <v>43</v>
      </c>
      <c r="H48" s="70"/>
      <c r="I48" s="71"/>
      <c r="J48" s="72"/>
      <c r="K48" s="71"/>
      <c r="L48" s="72"/>
      <c r="M48" s="71"/>
      <c r="N48" s="72"/>
      <c r="O48" s="71"/>
      <c r="P48" s="72"/>
      <c r="Q48" s="71"/>
      <c r="R48" s="72"/>
      <c r="S48" s="71"/>
      <c r="T48" s="72"/>
      <c r="U48" s="71"/>
      <c r="V48" s="72"/>
      <c r="W48" s="71"/>
      <c r="X48" s="72"/>
      <c r="Y48" s="71"/>
      <c r="Z48" s="72"/>
      <c r="AA48" s="71"/>
      <c r="AB48" s="73"/>
      <c r="AC48" s="73"/>
      <c r="AD48" s="73"/>
      <c r="AE48" s="72"/>
    </row>
    <row r="49" spans="1:31">
      <c r="A49" s="62">
        <v>44</v>
      </c>
      <c r="B49" s="41" t="s">
        <v>17</v>
      </c>
      <c r="C49" s="62">
        <v>413</v>
      </c>
      <c r="D49" s="57">
        <v>27.533333333333335</v>
      </c>
      <c r="E49" s="57">
        <v>23.661904761904761</v>
      </c>
      <c r="F49" s="57">
        <v>25.597619047619048</v>
      </c>
      <c r="G49" s="62">
        <v>44</v>
      </c>
      <c r="H49" s="70"/>
      <c r="I49" s="71"/>
      <c r="J49" s="72"/>
      <c r="K49" s="71"/>
      <c r="L49" s="72"/>
      <c r="M49" s="71"/>
      <c r="N49" s="72"/>
      <c r="O49" s="71"/>
      <c r="P49" s="72"/>
      <c r="Q49" s="71"/>
      <c r="R49" s="72"/>
      <c r="S49" s="71"/>
      <c r="T49" s="72"/>
      <c r="U49" s="71"/>
      <c r="V49" s="72"/>
      <c r="W49" s="71"/>
      <c r="X49" s="72"/>
      <c r="Y49" s="71"/>
      <c r="Z49" s="72"/>
      <c r="AA49" s="71"/>
      <c r="AB49" s="73"/>
      <c r="AC49" s="74"/>
      <c r="AD49" s="73"/>
      <c r="AE49" s="72"/>
    </row>
    <row r="50" spans="1:31">
      <c r="A50" s="62">
        <v>45</v>
      </c>
      <c r="B50" s="41" t="s">
        <v>33</v>
      </c>
      <c r="C50" s="62">
        <v>457</v>
      </c>
      <c r="D50" s="57">
        <v>30.466666666666665</v>
      </c>
      <c r="E50" s="57">
        <v>20.712698412698412</v>
      </c>
      <c r="F50" s="57">
        <v>25.589682539682538</v>
      </c>
      <c r="G50" s="62">
        <v>45</v>
      </c>
      <c r="H50" s="70"/>
      <c r="I50" s="71"/>
      <c r="J50" s="72"/>
      <c r="K50" s="75"/>
      <c r="L50" s="72"/>
      <c r="M50" s="71"/>
      <c r="N50" s="72"/>
      <c r="O50" s="71"/>
      <c r="P50" s="72"/>
      <c r="Q50" s="71"/>
      <c r="R50" s="72"/>
      <c r="S50" s="71"/>
      <c r="T50" s="72"/>
      <c r="U50" s="71"/>
      <c r="V50" s="72"/>
      <c r="W50" s="71"/>
      <c r="X50" s="72"/>
      <c r="Y50" s="71"/>
      <c r="Z50" s="72"/>
      <c r="AA50" s="71"/>
      <c r="AB50" s="73"/>
      <c r="AC50" s="73"/>
      <c r="AD50" s="73"/>
      <c r="AE50" s="72"/>
    </row>
    <row r="51" spans="1:31">
      <c r="A51" s="62">
        <v>46</v>
      </c>
      <c r="B51" s="41" t="s">
        <v>8</v>
      </c>
      <c r="C51" s="62">
        <v>415</v>
      </c>
      <c r="D51" s="57">
        <v>27.666666666666668</v>
      </c>
      <c r="E51" s="57">
        <v>18.822222222222223</v>
      </c>
      <c r="F51" s="57">
        <v>23.244444444444447</v>
      </c>
      <c r="G51" s="62">
        <v>46</v>
      </c>
      <c r="H51" s="70"/>
      <c r="I51" s="71"/>
      <c r="J51" s="72"/>
      <c r="K51" s="75"/>
      <c r="L51" s="72"/>
      <c r="M51" s="71"/>
      <c r="N51" s="72"/>
      <c r="O51" s="71"/>
      <c r="P51" s="72"/>
      <c r="Q51" s="71"/>
      <c r="R51" s="72"/>
      <c r="S51" s="71"/>
      <c r="T51" s="72"/>
      <c r="U51" s="71"/>
      <c r="V51" s="72"/>
      <c r="W51" s="71"/>
      <c r="X51" s="72"/>
      <c r="Y51" s="71"/>
      <c r="Z51" s="72"/>
      <c r="AA51" s="71"/>
      <c r="AB51" s="73"/>
      <c r="AC51" s="73"/>
      <c r="AD51" s="73"/>
      <c r="AE51" s="72"/>
    </row>
    <row r="52" spans="1:31">
      <c r="A52" s="62">
        <v>47</v>
      </c>
      <c r="B52" s="41" t="s">
        <v>44</v>
      </c>
      <c r="C52" s="62">
        <v>211</v>
      </c>
      <c r="D52" s="57">
        <v>14.066666666666666</v>
      </c>
      <c r="E52" s="57">
        <v>11.02222222222222</v>
      </c>
      <c r="F52" s="57">
        <v>12.544444444444444</v>
      </c>
      <c r="G52" s="62">
        <v>47</v>
      </c>
      <c r="H52" s="70"/>
      <c r="I52" s="71"/>
      <c r="J52" s="72"/>
      <c r="K52" s="71"/>
      <c r="L52" s="72"/>
      <c r="M52" s="71"/>
      <c r="N52" s="72"/>
      <c r="O52" s="71"/>
      <c r="P52" s="72"/>
      <c r="Q52" s="71"/>
      <c r="R52" s="72"/>
      <c r="S52" s="71"/>
      <c r="T52" s="72"/>
      <c r="U52" s="71"/>
      <c r="V52" s="72"/>
      <c r="W52" s="71"/>
      <c r="X52" s="72"/>
      <c r="Y52" s="71"/>
      <c r="Z52" s="72"/>
      <c r="AA52" s="71"/>
      <c r="AB52" s="73"/>
      <c r="AC52" s="74"/>
      <c r="AD52" s="73"/>
      <c r="AE52" s="72"/>
    </row>
    <row r="53" spans="1:31">
      <c r="A53" s="62">
        <v>48</v>
      </c>
      <c r="B53" s="41" t="s">
        <v>39</v>
      </c>
      <c r="C53" s="62">
        <v>0</v>
      </c>
      <c r="D53" s="57">
        <v>0</v>
      </c>
      <c r="E53" s="57">
        <v>0</v>
      </c>
      <c r="F53" s="57">
        <v>0</v>
      </c>
      <c r="G53" s="62">
        <v>48</v>
      </c>
      <c r="H53" s="70"/>
      <c r="I53" s="71"/>
      <c r="J53" s="72"/>
      <c r="K53" s="71"/>
      <c r="L53" s="72"/>
      <c r="M53" s="71"/>
      <c r="N53" s="72"/>
      <c r="O53" s="71"/>
      <c r="P53" s="72"/>
      <c r="Q53" s="71"/>
      <c r="R53" s="72"/>
      <c r="S53" s="71"/>
      <c r="T53" s="72"/>
      <c r="U53" s="71"/>
      <c r="V53" s="72"/>
      <c r="W53" s="71"/>
      <c r="X53" s="72"/>
      <c r="Y53" s="71"/>
      <c r="Z53" s="72"/>
      <c r="AA53" s="71"/>
      <c r="AB53" s="73"/>
      <c r="AC53" s="74"/>
      <c r="AD53" s="73"/>
      <c r="AE53" s="72"/>
    </row>
    <row r="54" spans="1:31">
      <c r="A54" s="62">
        <v>49</v>
      </c>
      <c r="B54" s="41" t="s">
        <v>50</v>
      </c>
      <c r="C54" s="62">
        <v>0</v>
      </c>
      <c r="D54" s="57">
        <v>0</v>
      </c>
      <c r="E54" s="57">
        <v>0</v>
      </c>
      <c r="F54" s="57">
        <v>0</v>
      </c>
      <c r="G54" s="62">
        <v>48</v>
      </c>
      <c r="H54" s="70"/>
      <c r="I54" s="71"/>
      <c r="J54" s="72"/>
      <c r="K54" s="75"/>
      <c r="L54" s="72"/>
      <c r="M54" s="71"/>
      <c r="N54" s="72"/>
      <c r="O54" s="71"/>
      <c r="P54" s="72"/>
      <c r="Q54" s="71"/>
      <c r="R54" s="72"/>
      <c r="S54" s="71"/>
      <c r="T54" s="72"/>
      <c r="U54" s="71"/>
      <c r="V54" s="72"/>
      <c r="W54" s="71"/>
      <c r="X54" s="72"/>
      <c r="Y54" s="71"/>
      <c r="Z54" s="72"/>
      <c r="AA54" s="71"/>
      <c r="AB54" s="73"/>
      <c r="AC54" s="74"/>
      <c r="AD54" s="73"/>
      <c r="AE54" s="72"/>
    </row>
    <row r="55" spans="1:31">
      <c r="A55" s="62">
        <v>50</v>
      </c>
      <c r="B55" s="41" t="s">
        <v>51</v>
      </c>
      <c r="C55" s="62">
        <v>0</v>
      </c>
      <c r="D55" s="57">
        <v>0</v>
      </c>
      <c r="E55" s="57">
        <v>0</v>
      </c>
      <c r="F55" s="57">
        <v>0</v>
      </c>
      <c r="G55" s="62">
        <v>48</v>
      </c>
      <c r="H55" s="70"/>
      <c r="I55" s="71"/>
      <c r="J55" s="72"/>
      <c r="K55" s="75"/>
      <c r="L55" s="72"/>
      <c r="M55" s="71"/>
      <c r="N55" s="72"/>
      <c r="O55" s="71"/>
      <c r="P55" s="72"/>
      <c r="Q55" s="71"/>
      <c r="R55" s="72"/>
      <c r="S55" s="71"/>
      <c r="T55" s="72"/>
      <c r="U55" s="71"/>
      <c r="V55" s="72"/>
      <c r="W55" s="71"/>
      <c r="X55" s="72"/>
      <c r="Y55" s="71"/>
      <c r="Z55" s="72"/>
      <c r="AA55" s="71"/>
      <c r="AB55" s="73"/>
      <c r="AC55" s="74"/>
      <c r="AD55" s="73"/>
      <c r="AE55" s="72"/>
    </row>
    <row r="56" spans="1:31">
      <c r="A56" s="85" t="s">
        <v>69</v>
      </c>
      <c r="B56" s="85"/>
      <c r="C56" s="1"/>
      <c r="D56" s="47" t="s">
        <v>85</v>
      </c>
      <c r="E56" s="86"/>
      <c r="F56" s="1"/>
      <c r="G56" s="1"/>
    </row>
    <row r="57" spans="1:31">
      <c r="A57" s="87" t="s">
        <v>70</v>
      </c>
      <c r="B57" s="9"/>
      <c r="C57" s="1"/>
      <c r="D57" s="50" t="s">
        <v>71</v>
      </c>
      <c r="E57" s="50"/>
      <c r="F57" s="1"/>
      <c r="G57" s="1"/>
    </row>
    <row r="58" spans="1:31">
      <c r="A58" s="1"/>
      <c r="B58" s="1"/>
      <c r="C58" s="1"/>
      <c r="D58" s="50"/>
      <c r="E58" s="88"/>
      <c r="F58" s="1"/>
      <c r="G58" s="1"/>
    </row>
    <row r="59" spans="1:31">
      <c r="A59" s="1"/>
      <c r="B59" s="1"/>
      <c r="C59" s="1"/>
      <c r="D59" s="50" t="s">
        <v>76</v>
      </c>
      <c r="E59" s="50"/>
      <c r="F59" s="1"/>
      <c r="G59" s="1"/>
    </row>
  </sheetData>
  <mergeCells count="23">
    <mergeCell ref="S5:T5"/>
    <mergeCell ref="U5:V5"/>
    <mergeCell ref="W5:X5"/>
    <mergeCell ref="Y5:Z5"/>
    <mergeCell ref="AE5:AE6"/>
    <mergeCell ref="Q5:R5"/>
    <mergeCell ref="A4:A5"/>
    <mergeCell ref="B4:B5"/>
    <mergeCell ref="C4:C5"/>
    <mergeCell ref="D4:D5"/>
    <mergeCell ref="E4:E5"/>
    <mergeCell ref="F4:F5"/>
    <mergeCell ref="G4:G5"/>
    <mergeCell ref="I5:J5"/>
    <mergeCell ref="K5:L5"/>
    <mergeCell ref="M5:N5"/>
    <mergeCell ref="O5:P5"/>
    <mergeCell ref="A1:H1"/>
    <mergeCell ref="J2:V2"/>
    <mergeCell ref="C3:D3"/>
    <mergeCell ref="F3:G3"/>
    <mergeCell ref="H3:U3"/>
    <mergeCell ref="V3:A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51"/>
  <sheetViews>
    <sheetView workbookViewId="0">
      <selection activeCell="D2" sqref="D2:D51"/>
    </sheetView>
  </sheetViews>
  <sheetFormatPr defaultRowHeight="14.25"/>
  <sheetData>
    <row r="2" spans="1:4" ht="15.75">
      <c r="A2" s="56">
        <v>44.266666666666666</v>
      </c>
      <c r="B2" s="13">
        <v>42.928571428571431</v>
      </c>
      <c r="C2" s="56">
        <v>41</v>
      </c>
      <c r="D2" s="56">
        <f>SUM(A2,B2,C2)/3</f>
        <v>42.731746031746034</v>
      </c>
    </row>
    <row r="3" spans="1:4" ht="15.75">
      <c r="A3" s="56">
        <v>35.06666666666667</v>
      </c>
      <c r="B3" s="13">
        <v>40.285714285714285</v>
      </c>
      <c r="C3" s="56">
        <v>34.133333333333333</v>
      </c>
      <c r="D3" s="56">
        <f t="shared" ref="D3:D51" si="0">SUM(A3,B3,C3)/3</f>
        <v>36.495238095238101</v>
      </c>
    </row>
    <row r="4" spans="1:4" ht="15.75">
      <c r="A4" s="56">
        <v>13.666666666666666</v>
      </c>
      <c r="B4" s="13">
        <v>25</v>
      </c>
      <c r="C4" s="56">
        <v>17.8</v>
      </c>
      <c r="D4" s="56">
        <f t="shared" si="0"/>
        <v>18.822222222222223</v>
      </c>
    </row>
    <row r="5" spans="1:4" ht="15.75">
      <c r="A5" s="56">
        <v>27.2</v>
      </c>
      <c r="B5" s="13">
        <v>28.928571428571427</v>
      </c>
      <c r="C5" s="56">
        <v>32.93333333333333</v>
      </c>
      <c r="D5" s="56">
        <f t="shared" si="0"/>
        <v>29.687301587301587</v>
      </c>
    </row>
    <row r="6" spans="1:4" ht="15.75">
      <c r="A6" s="56">
        <v>32.133333333333333</v>
      </c>
      <c r="B6" s="13">
        <v>24.428571428571427</v>
      </c>
      <c r="C6" s="56">
        <v>24.4</v>
      </c>
      <c r="D6" s="56">
        <f t="shared" si="0"/>
        <v>26.987301587301584</v>
      </c>
    </row>
    <row r="7" spans="1:4" ht="15.75">
      <c r="A7" s="56">
        <v>43.93333333333333</v>
      </c>
      <c r="B7" s="13">
        <v>28.857142857142858</v>
      </c>
      <c r="C7" s="56">
        <v>41.666666666666664</v>
      </c>
      <c r="D7" s="56">
        <f t="shared" si="0"/>
        <v>38.152380952380952</v>
      </c>
    </row>
    <row r="8" spans="1:4" ht="15.75">
      <c r="A8" s="56">
        <v>19.2</v>
      </c>
      <c r="B8" s="13">
        <v>29.785714285714285</v>
      </c>
      <c r="C8" s="56">
        <v>31.2</v>
      </c>
      <c r="D8" s="56">
        <f t="shared" si="0"/>
        <v>26.728571428571428</v>
      </c>
    </row>
    <row r="9" spans="1:4" ht="15.75">
      <c r="A9" s="56">
        <v>47.333333333333336</v>
      </c>
      <c r="B9" s="13">
        <v>45.357142857142854</v>
      </c>
      <c r="C9" s="56">
        <v>47.4</v>
      </c>
      <c r="D9" s="56">
        <f t="shared" si="0"/>
        <v>46.696825396825396</v>
      </c>
    </row>
    <row r="10" spans="1:4" ht="15.75">
      <c r="A10" s="56">
        <v>22.266666666666666</v>
      </c>
      <c r="B10" s="13">
        <v>36.142857142857146</v>
      </c>
      <c r="C10" s="56">
        <v>33.666666666666664</v>
      </c>
      <c r="D10" s="56">
        <f t="shared" si="0"/>
        <v>30.692063492063493</v>
      </c>
    </row>
    <row r="11" spans="1:4" ht="15.75">
      <c r="A11" s="56">
        <v>36.466666666666669</v>
      </c>
      <c r="B11" s="13">
        <v>40.5</v>
      </c>
      <c r="C11" s="56">
        <v>35.200000000000003</v>
      </c>
      <c r="D11" s="56">
        <f t="shared" si="0"/>
        <v>37.388888888888893</v>
      </c>
    </row>
    <row r="12" spans="1:4" ht="15.75">
      <c r="A12" s="56">
        <v>31.333333333333332</v>
      </c>
      <c r="B12" s="13">
        <v>31</v>
      </c>
      <c r="C12" s="56">
        <v>29.6</v>
      </c>
      <c r="D12" s="56">
        <f t="shared" si="0"/>
        <v>30.644444444444446</v>
      </c>
    </row>
    <row r="13" spans="1:4" ht="15.75">
      <c r="A13" s="56">
        <v>41.8</v>
      </c>
      <c r="B13" s="13">
        <v>42.5</v>
      </c>
      <c r="C13" s="56">
        <v>41.466666666666669</v>
      </c>
      <c r="D13" s="56">
        <f t="shared" si="0"/>
        <v>41.922222222222224</v>
      </c>
    </row>
    <row r="14" spans="1:4" ht="15.75">
      <c r="A14" s="56">
        <v>27.066666666666666</v>
      </c>
      <c r="B14" s="13">
        <v>30.642857142857142</v>
      </c>
      <c r="C14" s="56">
        <v>29.066666666666666</v>
      </c>
      <c r="D14" s="56">
        <f t="shared" si="0"/>
        <v>28.925396825396827</v>
      </c>
    </row>
    <row r="15" spans="1:4" ht="15.75">
      <c r="A15" s="56">
        <v>18</v>
      </c>
      <c r="B15" s="13">
        <v>27.785714285714285</v>
      </c>
      <c r="C15" s="56">
        <v>25.2</v>
      </c>
      <c r="D15" s="56">
        <f t="shared" si="0"/>
        <v>23.661904761904761</v>
      </c>
    </row>
    <row r="16" spans="1:4" ht="15.75">
      <c r="A16" s="56">
        <v>35</v>
      </c>
      <c r="B16" s="13">
        <v>34.214285714285715</v>
      </c>
      <c r="C16" s="56">
        <v>32.466666666666669</v>
      </c>
      <c r="D16" s="56">
        <f t="shared" si="0"/>
        <v>33.893650793650799</v>
      </c>
    </row>
    <row r="17" spans="1:4" ht="15.75">
      <c r="A17" s="56">
        <v>42.266666666666666</v>
      </c>
      <c r="B17" s="13">
        <v>43.857142857142854</v>
      </c>
      <c r="C17" s="56">
        <v>41.333333333333336</v>
      </c>
      <c r="D17" s="56">
        <f t="shared" si="0"/>
        <v>42.485714285714288</v>
      </c>
    </row>
    <row r="18" spans="1:4" ht="15.75">
      <c r="A18" s="56">
        <v>42.666666666666664</v>
      </c>
      <c r="B18" s="13">
        <v>45.428571428571431</v>
      </c>
      <c r="C18" s="56">
        <v>43.93333333333333</v>
      </c>
      <c r="D18" s="56">
        <f t="shared" si="0"/>
        <v>44.009523809523813</v>
      </c>
    </row>
    <row r="19" spans="1:4" ht="15.75">
      <c r="A19" s="56">
        <v>33.200000000000003</v>
      </c>
      <c r="B19" s="13">
        <v>30.5</v>
      </c>
      <c r="C19" s="56">
        <v>31.2</v>
      </c>
      <c r="D19" s="56">
        <f t="shared" si="0"/>
        <v>31.633333333333336</v>
      </c>
    </row>
    <row r="20" spans="1:4" ht="15.75">
      <c r="A20" s="56">
        <v>34.6</v>
      </c>
      <c r="B20" s="13">
        <v>31.857142857142858</v>
      </c>
      <c r="C20" s="56">
        <v>33.666666666666664</v>
      </c>
      <c r="D20" s="56">
        <f t="shared" si="0"/>
        <v>33.374603174603173</v>
      </c>
    </row>
    <row r="21" spans="1:4" ht="15.75">
      <c r="A21" s="56">
        <v>41.266666666666666</v>
      </c>
      <c r="B21" s="13">
        <v>43.857142857142854</v>
      </c>
      <c r="C21" s="56">
        <v>41.333333333333336</v>
      </c>
      <c r="D21" s="56">
        <f t="shared" si="0"/>
        <v>42.152380952380952</v>
      </c>
    </row>
    <row r="22" spans="1:4" ht="15.75">
      <c r="A22" s="56">
        <v>38.733333333333334</v>
      </c>
      <c r="B22" s="13">
        <v>42.214285714285715</v>
      </c>
      <c r="C22" s="56">
        <v>38.733333333333334</v>
      </c>
      <c r="D22" s="56">
        <f t="shared" si="0"/>
        <v>39.893650793650792</v>
      </c>
    </row>
    <row r="23" spans="1:4" ht="15.75">
      <c r="A23" s="56">
        <v>39.200000000000003</v>
      </c>
      <c r="B23" s="13">
        <v>30.714285714285715</v>
      </c>
      <c r="C23" s="56">
        <v>34.266666666666666</v>
      </c>
      <c r="D23" s="56">
        <f t="shared" si="0"/>
        <v>34.726984126984128</v>
      </c>
    </row>
    <row r="24" spans="1:4" ht="15.75">
      <c r="A24" s="56">
        <v>39.333333333333336</v>
      </c>
      <c r="B24" s="13">
        <v>44.857142857142854</v>
      </c>
      <c r="C24" s="56">
        <v>40.266666666666666</v>
      </c>
      <c r="D24" s="56">
        <f t="shared" si="0"/>
        <v>41.485714285714288</v>
      </c>
    </row>
    <row r="25" spans="1:4" ht="15.75">
      <c r="A25" s="56">
        <v>39.866666666666667</v>
      </c>
      <c r="B25" s="13">
        <v>40.285714285714285</v>
      </c>
      <c r="C25" s="56">
        <v>39.266666666666666</v>
      </c>
      <c r="D25" s="56">
        <f t="shared" si="0"/>
        <v>39.806349206349203</v>
      </c>
    </row>
    <row r="26" spans="1:4" ht="15.75">
      <c r="A26" s="56">
        <v>41.333333333333336</v>
      </c>
      <c r="B26" s="13">
        <v>38.357142857142854</v>
      </c>
      <c r="C26" s="56">
        <v>38.4</v>
      </c>
      <c r="D26" s="56">
        <f t="shared" si="0"/>
        <v>39.36349206349206</v>
      </c>
    </row>
    <row r="27" spans="1:4" ht="15.75">
      <c r="A27" s="56">
        <v>45.266666666666666</v>
      </c>
      <c r="B27" s="13">
        <v>45.785714285714285</v>
      </c>
      <c r="C27" s="56">
        <v>41.533333333333331</v>
      </c>
      <c r="D27" s="56">
        <f t="shared" si="0"/>
        <v>44.195238095238096</v>
      </c>
    </row>
    <row r="28" spans="1:4" ht="15.75">
      <c r="A28" s="56">
        <v>37.06666666666667</v>
      </c>
      <c r="B28" s="13">
        <v>19.928571428571427</v>
      </c>
      <c r="C28" s="56">
        <v>29.866666666666667</v>
      </c>
      <c r="D28" s="56">
        <f t="shared" si="0"/>
        <v>28.953968253968252</v>
      </c>
    </row>
    <row r="29" spans="1:4" ht="15.75">
      <c r="A29" s="56">
        <v>12</v>
      </c>
      <c r="B29" s="13">
        <v>37.428571428571431</v>
      </c>
      <c r="C29" s="56">
        <v>32.666666666666664</v>
      </c>
      <c r="D29" s="56">
        <f t="shared" si="0"/>
        <v>27.365079365079367</v>
      </c>
    </row>
    <row r="30" spans="1:4" ht="15.75">
      <c r="A30" s="56">
        <v>16.2</v>
      </c>
      <c r="B30" s="13">
        <v>21.285714285714285</v>
      </c>
      <c r="C30" s="56">
        <v>21.8</v>
      </c>
      <c r="D30" s="56">
        <f t="shared" si="0"/>
        <v>19.761904761904759</v>
      </c>
    </row>
    <row r="31" spans="1:4" ht="15.75">
      <c r="A31" s="56">
        <v>25.8</v>
      </c>
      <c r="B31" s="13">
        <v>15.071428571428571</v>
      </c>
      <c r="C31" s="56">
        <v>21.266666666666666</v>
      </c>
      <c r="D31" s="56">
        <f t="shared" si="0"/>
        <v>20.712698412698412</v>
      </c>
    </row>
    <row r="32" spans="1:4" ht="15.75">
      <c r="A32" s="56">
        <v>34.133333333333333</v>
      </c>
      <c r="B32" s="13">
        <v>23.642857142857142</v>
      </c>
      <c r="C32" s="56">
        <v>25.8</v>
      </c>
      <c r="D32" s="56">
        <f t="shared" si="0"/>
        <v>27.858730158730157</v>
      </c>
    </row>
    <row r="33" spans="1:4" ht="15.75">
      <c r="A33" s="56">
        <v>25.933333333333334</v>
      </c>
      <c r="B33" s="13">
        <v>28.214285714285715</v>
      </c>
      <c r="C33" s="56">
        <v>32.666666666666664</v>
      </c>
      <c r="D33" s="56">
        <f t="shared" si="0"/>
        <v>28.93809523809524</v>
      </c>
    </row>
    <row r="34" spans="1:4" ht="15.75">
      <c r="A34" s="56">
        <v>41.733333333333334</v>
      </c>
      <c r="B34" s="13">
        <v>43.214285714285715</v>
      </c>
      <c r="C34" s="56">
        <v>42.466666666666669</v>
      </c>
      <c r="D34" s="56">
        <f t="shared" si="0"/>
        <v>42.471428571428568</v>
      </c>
    </row>
    <row r="35" spans="1:4" ht="15.75">
      <c r="A35" s="56">
        <v>29.8</v>
      </c>
      <c r="B35" s="13">
        <v>27.714285714285715</v>
      </c>
      <c r="C35" s="56">
        <v>25.4</v>
      </c>
      <c r="D35" s="56">
        <f t="shared" si="0"/>
        <v>27.638095238095236</v>
      </c>
    </row>
    <row r="36" spans="1:4" ht="15.75">
      <c r="A36" s="56">
        <v>35.799999999999997</v>
      </c>
      <c r="B36" s="13">
        <v>35.357142857142854</v>
      </c>
      <c r="C36" s="56">
        <v>33.266666666666666</v>
      </c>
      <c r="D36" s="56">
        <f t="shared" si="0"/>
        <v>34.807936507936503</v>
      </c>
    </row>
    <row r="37" spans="1:4" ht="15.75">
      <c r="A37" s="56">
        <v>0</v>
      </c>
      <c r="B37" s="13">
        <v>11.928571428571429</v>
      </c>
      <c r="C37" s="56">
        <v>5.2666666666666666</v>
      </c>
      <c r="D37" s="56">
        <f t="shared" si="0"/>
        <v>5.7317460317460318</v>
      </c>
    </row>
    <row r="38" spans="1:4" ht="15.75">
      <c r="A38" s="56">
        <v>37.666666666666664</v>
      </c>
      <c r="B38" s="13">
        <v>37.5</v>
      </c>
      <c r="C38" s="56">
        <v>36.466666666666669</v>
      </c>
      <c r="D38" s="56">
        <f t="shared" si="0"/>
        <v>37.211111111111109</v>
      </c>
    </row>
    <row r="39" spans="1:4" ht="15.75">
      <c r="A39" s="56">
        <v>20</v>
      </c>
      <c r="B39" s="13">
        <v>29.428571428571427</v>
      </c>
      <c r="C39" s="56">
        <v>25.933333333333334</v>
      </c>
      <c r="D39" s="56">
        <f t="shared" si="0"/>
        <v>25.120634920634924</v>
      </c>
    </row>
    <row r="40" spans="1:4" ht="15.75">
      <c r="A40" s="56">
        <v>42.866666666666667</v>
      </c>
      <c r="B40" s="13">
        <v>41.571428571428569</v>
      </c>
      <c r="C40" s="56">
        <v>43.133333333333333</v>
      </c>
      <c r="D40" s="56">
        <f t="shared" si="0"/>
        <v>42.523809523809518</v>
      </c>
    </row>
    <row r="41" spans="1:4" ht="15.75">
      <c r="A41" s="56">
        <v>40.4</v>
      </c>
      <c r="B41" s="13">
        <v>42.571428571428569</v>
      </c>
      <c r="C41" s="56">
        <v>40.6</v>
      </c>
      <c r="D41" s="56">
        <f t="shared" si="0"/>
        <v>41.190476190476183</v>
      </c>
    </row>
    <row r="42" spans="1:4" ht="15.75">
      <c r="A42" s="56">
        <v>0</v>
      </c>
      <c r="B42" s="13">
        <v>20</v>
      </c>
      <c r="C42" s="56">
        <v>13.066666666666666</v>
      </c>
      <c r="D42" s="56">
        <f t="shared" si="0"/>
        <v>11.02222222222222</v>
      </c>
    </row>
    <row r="43" spans="1:4" ht="15.75">
      <c r="A43" s="56">
        <v>27.733333333333334</v>
      </c>
      <c r="B43" s="13">
        <v>39.571428571428569</v>
      </c>
      <c r="C43" s="56">
        <v>29.266666666666666</v>
      </c>
      <c r="D43" s="56">
        <f t="shared" si="0"/>
        <v>32.19047619047619</v>
      </c>
    </row>
    <row r="44" spans="1:4" ht="15.75">
      <c r="A44" s="56">
        <v>25.6</v>
      </c>
      <c r="B44" s="13">
        <v>24.785714285714285</v>
      </c>
      <c r="C44" s="56">
        <v>34.06666666666667</v>
      </c>
      <c r="D44" s="56">
        <f t="shared" si="0"/>
        <v>28.150793650793656</v>
      </c>
    </row>
    <row r="45" spans="1:4" ht="15.75">
      <c r="A45" s="56">
        <v>42.466666666666669</v>
      </c>
      <c r="B45" s="13">
        <v>42.142857142857146</v>
      </c>
      <c r="C45" s="56">
        <v>42.533333333333331</v>
      </c>
      <c r="D45" s="56">
        <f t="shared" si="0"/>
        <v>42.38095238095238</v>
      </c>
    </row>
    <row r="46" spans="1:4" ht="15.75">
      <c r="A46" s="56">
        <v>27.8</v>
      </c>
      <c r="B46" s="13">
        <v>26.285714285714285</v>
      </c>
      <c r="C46" s="56">
        <v>33.200000000000003</v>
      </c>
      <c r="D46" s="56">
        <f t="shared" si="0"/>
        <v>29.095238095238098</v>
      </c>
    </row>
    <row r="47" spans="1:4" ht="15.75">
      <c r="A47" s="56">
        <v>35.466666666666669</v>
      </c>
      <c r="B47" s="13">
        <v>35.285714285714285</v>
      </c>
      <c r="C47" s="56">
        <v>35.06666666666667</v>
      </c>
      <c r="D47" s="56">
        <f t="shared" si="0"/>
        <v>35.273015873015872</v>
      </c>
    </row>
    <row r="48" spans="1:4" ht="15.75">
      <c r="A48" s="56">
        <v>0</v>
      </c>
      <c r="B48" s="13">
        <v>4.7857142857142856</v>
      </c>
      <c r="C48" s="56">
        <v>0</v>
      </c>
      <c r="D48" s="56">
        <v>0</v>
      </c>
    </row>
    <row r="49" spans="1:4" ht="15.75">
      <c r="A49" s="56">
        <v>0</v>
      </c>
      <c r="B49" s="13">
        <v>37.428571428571431</v>
      </c>
      <c r="C49" s="56">
        <v>0</v>
      </c>
      <c r="D49" s="56">
        <v>0</v>
      </c>
    </row>
    <row r="50" spans="1:4" ht="15.75">
      <c r="A50" s="56">
        <v>20.133333333333333</v>
      </c>
      <c r="B50" s="13">
        <v>29</v>
      </c>
      <c r="C50" s="56">
        <v>28.066666666666666</v>
      </c>
      <c r="D50" s="56">
        <f t="shared" si="0"/>
        <v>25.733333333333334</v>
      </c>
    </row>
    <row r="51" spans="1:4" ht="15.75">
      <c r="A51" s="56">
        <v>46.133333333333333</v>
      </c>
      <c r="B51" s="13">
        <v>45.214285714285715</v>
      </c>
      <c r="C51" s="56">
        <v>41.2</v>
      </c>
      <c r="D51" s="56">
        <f t="shared" si="0"/>
        <v>44.182539682539677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feb </vt:lpstr>
      <vt:lpstr>feb2022  (2)</vt:lpstr>
      <vt:lpstr>feb2 (2)</vt:lpstr>
      <vt:lpstr>dec</vt:lpstr>
      <vt:lpstr>dec2</vt:lpstr>
      <vt:lpstr>jan</vt:lpstr>
      <vt:lpstr>jan2</vt:lpstr>
      <vt:lpstr>SEMESTER1(2)</vt:lpstr>
      <vt:lpstr>SEMESTER1</vt:lpstr>
      <vt:lpstr>SEMESTER1(3)</vt:lpstr>
      <vt:lpstr>VIP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OS</dc:creator>
  <cp:lastModifiedBy>Keo Lyhouyleng</cp:lastModifiedBy>
  <cp:lastPrinted>2022-04-22T13:31:22Z</cp:lastPrinted>
  <dcterms:created xsi:type="dcterms:W3CDTF">2019-12-22T12:43:20Z</dcterms:created>
  <dcterms:modified xsi:type="dcterms:W3CDTF">2022-04-22T13:34:05Z</dcterms:modified>
</cp:coreProperties>
</file>